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Test Cases" sheetId="2" r:id="rId6"/>
  </sheets>
  <definedNames/>
  <calcPr/>
</workbook>
</file>

<file path=xl/sharedStrings.xml><?xml version="1.0" encoding="utf-8"?>
<sst xmlns="http://schemas.openxmlformats.org/spreadsheetml/2006/main" count="287" uniqueCount="202">
  <si>
    <t>INVENTORY MANAGEMENT SYSTEM - QA TEST PLAN &amp; DASHBOARD</t>
  </si>
  <si>
    <t>Test Case ID</t>
  </si>
  <si>
    <t>Executive Summary</t>
  </si>
  <si>
    <t>Test Case Specification</t>
  </si>
  <si>
    <t>Test Data &amp; Request Specification</t>
  </si>
  <si>
    <t>Verification &amp; Results Analysis</t>
  </si>
  <si>
    <t>Declarative Steps (Business)</t>
  </si>
  <si>
    <t>Technical Steps (Execution)</t>
  </si>
  <si>
    <t>Test Data / Payload</t>
  </si>
  <si>
    <t>Expected Result</t>
  </si>
  <si>
    <t>Status</t>
  </si>
  <si>
    <t>Test Evidence (Drive Link)</t>
  </si>
  <si>
    <t>Notes / Bug ID</t>
  </si>
  <si>
    <t>TC-PROD-001</t>
  </si>
  <si>
    <t>Pengujian TC-PROD-001 (Create Product with Valid Payload) telah selesai dilaksanakan. Sistem backend berhasil memproses pembuatan produk baru dengan data yang valid dan menyimpan hasilnya ke database. 
Status: PASS.</t>
  </si>
  <si>
    <t>Modul: Product Management
Skenario: Memastikan produk baru berhasil dibuat ketika mengirimkan payload yang lengkap dan valid.
Tipe: Positive
Env: Docker (http://localhost:8080)</t>
  </si>
  <si>
    <t>PROJECT INFORMATION</t>
  </si>
  <si>
    <t>DETAIL</t>
  </si>
  <si>
    <r>
      <rPr>
        <color theme="1"/>
        <sz val="11.0"/>
      </rPr>
      <t xml:space="preserve">Metode &amp; Endpoint: POST </t>
    </r>
    <r>
      <rPr>
        <color rgb="FF1155CC"/>
        <sz val="11.0"/>
        <u/>
      </rPr>
      <t>http://localhost:8080/products</t>
    </r>
    <r>
      <rPr>
        <color theme="1"/>
        <sz val="11.0"/>
      </rPr>
      <t xml:space="preserve">
Header: Content-Type: application/json
Body:
{\n "sku": "LAPTOP-001",\n "name": "Gaming Laptop",\n "price": 15000000,\n "stock": 10\n}</t>
    </r>
  </si>
  <si>
    <t>Project Name</t>
  </si>
  <si>
    <t>Inventory Management System</t>
  </si>
  <si>
    <t>Scope</t>
  </si>
  <si>
    <t>Backend RESTful API &amp; Frontend SPA Web Dashboard</t>
  </si>
  <si>
    <t>Out of Scope</t>
  </si>
  <si>
    <t>Mobile App Testing (iOS/Android), Load Testing, Performance Testing</t>
  </si>
  <si>
    <t>HTTP Status Code: 201 Created
Hasil Validasi: Response body mengembalikan detail produk beserta ID unik. Data tersimpan di database.
Catatan: Terverifikasi.</t>
  </si>
  <si>
    <t>1.Akses modul pendaftaran produk
2.Masukkan data produk baru yang valid
3.Kirimkan permintaan pembuatan produk
4.Verifikasi simpanan data</t>
  </si>
  <si>
    <r>
      <rPr>
        <color theme="1"/>
        <sz val="11.0"/>
      </rPr>
      <t xml:space="preserve">1.Open Postman
2.Set Method to POST
3.Set URL to </t>
    </r>
    <r>
      <rPr>
        <color rgb="FF1155CC"/>
        <sz val="11.0"/>
        <u/>
      </rPr>
      <t>http://localhost:8080/products</t>
    </r>
    <r>
      <rPr>
        <color theme="1"/>
        <sz val="11.0"/>
      </rPr>
      <t xml:space="preserve">
4.Header: Content-Type: application/json
5.Paste Payload &amp; Click Send</t>
    </r>
  </si>
  <si>
    <t>{"sku": "LAPTOP-001", "name": "Gaming Laptop", "price": 15000000, "stock": 10}</t>
  </si>
  <si>
    <t>Sistem berhasil menyimpan data (Status 201 Created). Response body mengembalikan object JSON berisi id, sku, name, price, stock, dan created_at.</t>
  </si>
  <si>
    <t>Test Environment</t>
  </si>
  <si>
    <t>http://localhost:8080 (Docker Container)</t>
  </si>
  <si>
    <t>Testing Tools</t>
  </si>
  <si>
    <t>PASS</t>
  </si>
  <si>
    <t>https://drive.google.com/file/d/1iR8MfYwozNC_b7mZfEJkLtjaQiDTP8bl/view?usp=drive_link</t>
  </si>
  <si>
    <t>Spreadsheet, Postman / Insomnia, Google Chrome / Firefox</t>
  </si>
  <si>
    <t>Verified: Output response ID generated, HTTP 201 Created</t>
  </si>
  <si>
    <t>TC-PROD-002</t>
  </si>
  <si>
    <t>Pengujian TC-PROD-002 (Create Product with Duplicate SKU) telah selesai dilaksanakan. Sistem backend menolak pembuatan produk yang menggunakan SKU terdaftar (LAPTOP-001) dan mengembalikan status code yang tepat. 
Status: PASS.</t>
  </si>
  <si>
    <t>Modul: Product Management – Negative Validation
Skenario: Memastikan sistem menolak pendaftaran SKU yang duplikat untuk menjaga keunikan data inventaris.
Tipe: Negative
Env: Docker (http://localhost:8080)</t>
  </si>
  <si>
    <t>Metode &amp; Endpoint: POST http://localhost:8080/products
Header: Content-Type: application/json
Body:
{\n "sku": "LAPTOP-001",\n "name": "Office Laptop",\n "price": 8000000,\n "stock": 5\n}</t>
  </si>
  <si>
    <t>HTTP Status Code: 400 Bad Request
Hasil Validasi: Request ditolak server karena SKU sudah ada. Tidak ada record baru terbentuk, keutuhan data terjaga.
Catatan: Terverifikasi.</t>
  </si>
  <si>
    <t>1. Akses modul pendaftaran produk
2. Masukkan data produk menggunakan SKU yang sudah terdaftar
3. Kirimkan permintaan pembuatan produk</t>
  </si>
  <si>
    <t>1. Open Postman
2. Set Method to POST
3. Set URL to http://localhost:8080/products
4. Send request using existing SKU (LAPTOP-001)
5. Click Send</t>
  </si>
  <si>
    <t>{ "sku": "LAPTOP-001", "name": "Office Laptop", "price": 8000000, "stock": 5 }</t>
  </si>
  <si>
    <t>Sistem menolak pendaftaran (Status Code 400 Bad Request) dan menampilkan pesan error bahwa SKU sudah terdaftar.</t>
  </si>
  <si>
    <t>https://drive.google.com/file/d/1HWyQkwOU5MqUpgYmZtknKXYyYeoeAxGD/view?usp=drive_link</t>
  </si>
  <si>
    <t>Verified: System successfully blocked duplicate SKU LAPTOP-001 and returned HTTP 400 Bad Request.</t>
  </si>
  <si>
    <t>TC-PROD-003</t>
  </si>
  <si>
    <t>Pengujian TC-PROD-003 (Get All Products Catalog) telah berhasil dilaksanakan. Endpoint backend merespons permintaan GET dan menampilkan daftar seluruh produk yang tersimpan di dalam database inventaris secara akurat. 
Status: PASS.</t>
  </si>
  <si>
    <t>Modul: Product Management – Retrieval
Skenario: Memastikan sistem dapat mengambil dan menampilkan seluruh data produk yang ada di database melalui method GET.
Tipe: Positive
Env: Docker (http://localhost:8080)</t>
  </si>
  <si>
    <t>Metode &amp; Endpoint: GET http://localhost:8080/products
Header: (Tidak ada header khusus yang wajib, opsional Content-Type / Accept: application/json)
Body: (None / Kosong karena menggunakan method GET)</t>
  </si>
  <si>
    <t>HTTP Status Code: 200 OK
Hasil Validasi: Response body mengembalikan array/list data produk (termasuk "LAPTOP-001" yang dibuat sebelumnya) dengan struktur JSON yang valid.</t>
  </si>
  <si>
    <t>1. Akses halaman / endpoint daftar produk
2. Minta sistem menampilkan seluruh katalog produk</t>
  </si>
  <si>
    <t>1. Open Postman
2. Set Method to GET
3. Set URL to http://localhost:8080/products
4. Click Send</t>
  </si>
  <si>
    <t>(None)</t>
  </si>
  <si>
    <t>Sistem menyajikan seluruh daftar produk terdaftar beserta rincian informasinya secara lengkap (Status Code 200 OK).</t>
  </si>
  <si>
    <t>https://drive.google.com/file/d/1aHt2sF9i5TyR-OnzSJQL7agBKD7HXKMA/view?usp=drive_link</t>
  </si>
  <si>
    <t>- Status: CLEAR / NO BUG
- Catatan QA: Endpoint berjalan stabil, format JSON array konsisten, dan waktu respons (response time) sangat cepat (&lt; 50ms). Siap dilanjut ke test case berikutnya.</t>
  </si>
  <si>
    <t>TC-PROD-004</t>
  </si>
  <si>
    <t>Pengujian TC-PROD-004 (Update Product Details) telah selesai dilaksanakan. Sistem backend berhasil memperbarui informasi produk (Nama dan Harga) untuk SKU LAPTOP-001 secara real-time di database. 
Status: PASS.</t>
  </si>
  <si>
    <t>Modul: Product Management – Update
Skenario: Memastikan pengguna dapat memperbarui rincian produk yang sudah terdaftar menggunakan method PUT.
Tipe: Positive
Env: Docker (http://localhost:8080)</t>
  </si>
  <si>
    <r>
      <rPr>
        <color theme="1"/>
        <sz val="11.0"/>
      </rPr>
      <t xml:space="preserve">Metode &amp; Endpoint: PUT </t>
    </r>
    <r>
      <rPr>
        <color rgb="FF1155CC"/>
        <sz val="11.0"/>
        <u/>
      </rPr>
      <t>http://localhost:8080/products/LAPTOP-001</t>
    </r>
    <r>
      <rPr>
        <color theme="1"/>
        <sz val="11.0"/>
      </rPr>
      <t xml:space="preserve">
Header: Content-Type: application/json
Body:
{\n "name": "Gaming Laptop Pro",\n "price": 17500000,\n "stock": 10\n}</t>
    </r>
  </si>
  <si>
    <t>HTTP Status Code: 200 OK
Hasil Validasi: Response body mengembalikan payload data produk yang telah diperbarui. Perubahan data terkonfirmasi di database.</t>
  </si>
  <si>
    <t>1. Pilih produk terdaftar (misal: LAPTOP-001)
2. Ubah rincian informasi nama atau harga baru
3. Simpan perubahan data produk</t>
  </si>
  <si>
    <t>1. Open Postman
2. Set Method to PUT
3. Set URL to http://localhost:8080/products/LAPTOP-001
4. Input JSON Body with updated Name and Price
5. Click Send</t>
  </si>
  <si>
    <t>{ "name": "Gaming Laptop Pro Ultra", "price": 18000000 }</t>
  </si>
  <si>
    <t>Sistem memperbarui data produk (Status Code 200 OK) dan merespons dengan data nama serta harga yang baru.</t>
  </si>
  <si>
    <t>https://drive.google.com/file/d/1fNONWtZNyhZc4RgPzO4IrZYpl3JFPXn3/view?usp=drive_link</t>
  </si>
  <si>
    <t>- Status: CLEAR / NO BUG
- Catatan QA: Pembaruan data sensitif (harga dan nama) berjalan presisi. Tidak ditemukan efek samping pada atribut lain seperti stok atau ID.</t>
  </si>
  <si>
    <t>TC-PROD-005</t>
  </si>
  <si>
    <t>Pengujian TC-PROD-005 (Delete Existing Product) telah selesai dilaksanakan. Backend berhasil menghapus produk LAPTOP-001 dari database dan mengembalikan respon yang sesuai. Verifikasi lanjutan dengan GET mengembalikan 404 Not Found. 
Status: PASS.</t>
  </si>
  <si>
    <t>Modul: Product Management – Deletion
Skenario: Memastikan pengguna dapat menghapus data produk dari inventaris berdasarkan SKU.
Tipe: Positive
Env: Docker (http://localhost:8080)</t>
  </si>
  <si>
    <r>
      <rPr>
        <color theme="1"/>
        <sz val="11.0"/>
      </rPr>
      <t xml:space="preserve">Metode &amp; Endpoint: DELETE </t>
    </r>
    <r>
      <rPr>
        <color rgb="FF1155CC"/>
        <sz val="11.0"/>
        <u/>
      </rPr>
      <t>http://localhost:8080/products/LAPTOP-001</t>
    </r>
    <r>
      <rPr>
        <color theme="1"/>
        <sz val="11.0"/>
      </rPr>
      <t xml:space="preserve">
Header: (Tidak ada header khusus)
Body: (None / Kosong)</t>
    </r>
  </si>
  <si>
    <t>HTTP Status Code: 200 OK (atau 204 No Content)
Hasil Validasi: Produk terhapus dari sistem. Saat dicoba dipanggil ulang via GET (http://localhost:8080/products/LAPTOP-001), server merespons HTTP 404 Not Found.</t>
  </si>
  <si>
    <t>1. Pilih produk terdaftar (misal: LAPTOP-001)
2. Lakukan instruksi penghapusan produk
3. Cari kembali produk yang telah dihapus</t>
  </si>
  <si>
    <t>1. Open Postman
2. Set Method to DELETE
3. Set URL to http://localhost:8080/products/LAPTOP-001
4. Click Send
5. Verification: Send GET to /products/LAPTOP-001</t>
  </si>
  <si>
    <t>Sistem berhasil menghapus produk (Status Code 200 OK). Saat diverifikasi ulang, sistem merespons produk tidak ditemukan (Status Code 404 Not Found).</t>
  </si>
  <si>
    <t>1.https://drive.google.com/file/d/1AQJkN3_nRLfrrpxCw-q1TDGfxZ-MHRq0/view?usp=drive_link
2.https://drive.google.com/file/d/1u1wkiGSqvxQvvBfpj-Gc0au_g9ZR9lT8/view?usp=drive_link</t>
  </si>
  <si>
    <t>- Status: CLEAR / NO BUG
- Catatan QA: Fitur hard/soft delete berjalan sesuai ekspektasi. Data terpangkas rapi dan verifikasi dua arah (DELETE -&gt; GET) terbukti valid.</t>
  </si>
  <si>
    <t>TC-PROD-006</t>
  </si>
  <si>
    <t>Pengujian TC-PROD-006 (Create Product: MOUSE-001) telah selesai dilaksanakan via Postman. Produk berhasil tersimpan di database dengan stok 20. Status: PASS.
(Catatan untuk PM: Instruksi pengujian disesuaikan dari UI Browser menjadi API Request karena sistem saat ini merupakan Service Backend).</t>
  </si>
  <si>
    <t>Modul: Product Management
Skenario: Membuat produk baru (MOUSE-001).
Tipe: Positive
Env: Docker (http://localhost:8080)</t>
  </si>
  <si>
    <r>
      <rPr>
        <color theme="1"/>
        <sz val="11.0"/>
      </rPr>
      <t xml:space="preserve">Metode &amp; Endpoint: POST </t>
    </r>
    <r>
      <rPr>
        <color rgb="FF1155CC"/>
        <sz val="11.0"/>
        <u/>
      </rPr>
      <t>http://localhost:8080/products</t>
    </r>
    <r>
      <rPr>
        <color theme="1"/>
        <sz val="11.0"/>
      </rPr>
      <t xml:space="preserve">
Header: Content-Type: application/json
Body:
{\n "sku": "MOUSE-001",\n "name": "Wireless Mouse",\n "price": 250000,\n "stock": 20\n}</t>
    </r>
  </si>
  <si>
    <t>HTTP Status Code: 201 Created
Hasil Validasi: Produk MOUSE-001 berhasil terdaftar di database.</t>
  </si>
  <si>
    <t>1. Buka antarmuka Web Dashboard Inventoris
2. Navigasi ke formulir "Tambah Produk Baru"
3. Isi formulir dengan data produk lengkap
4. Klik tombol "Simpan Produk"</t>
  </si>
  <si>
    <t>1. Open Browser (Chrome / Firefox)
2. Go to http://localhost:8080/
3. Locate "Add New Product" Form
4. Fill Form: SKU = "MOUSE-001", Name = "Wireless Mouse", Price = 250000, Stock = 20
5. Click "Save Product" button</t>
  </si>
  <si>
    <t>SKU: MOUSE-001, Name: Wireless Mouse, Price: 250000, Stock: 20</t>
  </si>
  <si>
    <t>Formulir otomatis dikosongkan (reset) dan baris produk baru (MOUSE-001) langsung muncul pada tabel antarmuka pengguna.</t>
  </si>
  <si>
    <t>https://drive.google.com/file/d/10Zx94hFXa07AVOoxRe3hF9UpXFPvHsUH/view?usp=drive_link</t>
  </si>
  <si>
    <t>- Status: ARCHITECTURE MISMATCH / NOTE
- Catatan QA: Instruksi "Buka Web Dashboard" tidak valid karena environment adalah RESTful API (tanpa antarmuka frontend). Eksekusi dialihkan menggunakan endpoint POST via Postman agar data MOUSE-001 terbentuk untuk keperluan test case STK selanjutnya.</t>
  </si>
  <si>
    <t>TC-STK-001</t>
  </si>
  <si>
    <t>Pengujian TC-STK-001 (Increase Product Stock) telah selesai dilaksanakan. Sistem backend berhasil memperbarui dan menambahkan jumlah stok produk MOUSE-001 sesuai dengan payload request yang dikirimkan. 
Status: PASS.</t>
  </si>
  <si>
    <t>Modul: Stock Management – Addition
Skenario: Memastikan pengguna dapat menambahkan jumlah stok untuk produk terdaftar (MOUSE-001) secara valid.
Tipe: Positive
Env: Docker (http://localhost:8080)</t>
  </si>
  <si>
    <r>
      <rPr>
        <color theme="1"/>
        <sz val="11.0"/>
      </rPr>
      <t xml:space="preserve">Metode &amp; Endpoint: POST </t>
    </r>
    <r>
      <rPr>
        <color rgb="FF1155CC"/>
        <sz val="11.0"/>
        <u/>
      </rPr>
      <t>http://localhost:8080/products/MOUSE-001/stock</t>
    </r>
    <r>
      <rPr>
        <color theme="1"/>
        <sz val="11.0"/>
      </rPr>
      <t xml:space="preserve">
Header: Content-Type: application/json
Body:
{\n "action": "add",\n "amount": 10\n}</t>
    </r>
  </si>
  <si>
    <t>HTTP Status Code: 200 OK
Hasil Validasi: Response body mengembalikan informasi stok terbaru (stok awal 20 + 10 = 30). Perubahan stok terkonfirmasi di database.</t>
  </si>
  <si>
    <t>1. Pilih produk yang akan ditambah stoknya (misal: MOUSE-001)
2. Masukkan jumlah penambahan stok yang valid
3. Kirimkan pembaruan stok ke sistem</t>
  </si>
  <si>
    <t>1. Open Postman
2. Set Method to POST
3. Set URL to http://localhost:8080/products/MOUSE-001/stock
4. Input JSON Payload with action = "add"
5. Click Send</t>
  </si>
  <si>
    <t>{ "action": "add", "quantity": 10 }</t>
  </si>
  <si>
    <t>Sistem berhasil memperbarui stok (Status Code 200 OK). Total stok produk bertambah dari 20 menjadi 30.</t>
  </si>
  <si>
    <t>https://drive.google.com/file/d/15BCMbdXcl4nt72s-wDXRDaM1L-zWPZq0/view?usp=drive_link</t>
  </si>
  <si>
    <t>- Status: CLEAR / NO BUG
- Catatan QA: Logika akumulasi stok berjalan dengan benar. Nilai stok bertambah sesuai input tanpa mempengaruhi variabel lain.</t>
  </si>
  <si>
    <t>TC-STK-002</t>
  </si>
  <si>
    <t>Pengujian TC-STK-002 (Reduce Product Stock) telah selesai dilaksanakan. Sistem backend berhasil memperbarui dan mengurangi jumlah stok produk MOUSE-001 sesuai dengan batas ketersediaan stok yang valid. 
Status: PASS.</t>
  </si>
  <si>
    <t>Modul: Stock Management – Reduction
Skenario: Memastikan pengguna dapat mengurangi jumlah stok untuk produk terdaftar (MOUSE-001) secara valid tanpa melampaui batas ketersediaan.
Tipe: Positive
Env: Docker (http://localhost:8080)</t>
  </si>
  <si>
    <t>Metode &amp; Endpoint: POST http://localhost:8080/products/MOUSE-001/stock
Header: Content-Type: application/json
Body:
{\n "action": "reduce",\n "amount": 5\n}</t>
  </si>
  <si>
    <t>HTTP Status Code: 200 OK
Hasil Validasi: Response body mengembalikan informasi stok terbaru yang sudah dikurangi (stok 30 - 5 = 25). Data tereksekusi akurat di database.</t>
  </si>
  <si>
    <t>1. Pilih produk yang akan dikurangi stoknya (misal: MOUSE-001)
2. Masukkan jumlah pengurangan stok sesuai batas ketersediaan
3. Kirimkan pembaruan stok ke sistem</t>
  </si>
  <si>
    <t>1. Open Postman
2. Set Method to POST
3. Set URL to http://localhost:8080/products/MOUSE-001/stock
4. Input JSON Payload with action = "reduce"
5. Click Send</t>
  </si>
  <si>
    <t>{ "action": "reduce", "quantity": 5 }</t>
  </si>
  <si>
    <t>Sistem berhasil memperbarui stok (Status Code 200 OK). Total stok produk berkurang dari 30 menjadi 25.</t>
  </si>
  <si>
    <t>https://drive.google.com/file/d/15a4Ub87L8CPdh19eeKaFS5GlQV-2Fsdv/view?usp=drive_link</t>
  </si>
  <si>
    <t>TEST EXECUTION SUMMARY</t>
  </si>
  <si>
    <t>- Status: CLEAR / NO BUG
- Catatan QA: Logika pengurangan stok berjalan presisi. 
Rekomendasi pengujian berikutnya (Negative Case): mencoba pengurangan yang melebihi jumlah stok (&gt;25) untuk memastikan penanganan out of stock.</t>
  </si>
  <si>
    <t>TC-STK-003</t>
  </si>
  <si>
    <t>Pengujian TC-STK-003 (Reduce Stock Exceeding Quantity) telah selesai dilaksanakan. Backend berhasil menolak transaksi pengurangan stok yang melebihi jumlah sisa stok saat ini dan mengembalikan pesan error "jumlah stok tidak mencukupi". Status: PASS.</t>
  </si>
  <si>
    <t>Modul: Stock Management – Reduction Validation
Skenario: Memastikan sistem menolak pengurangan stok jika kuantitas yang diminta melebihi sisa stok.
Tipe: Negative
Env: Docker (http://localhost:8080)</t>
  </si>
  <si>
    <r>
      <rPr>
        <color theme="1"/>
        <sz val="11.0"/>
      </rPr>
      <t xml:space="preserve">Method &amp; Path: POST </t>
    </r>
    <r>
      <rPr>
        <color rgb="FF1155CC"/>
        <sz val="11.0"/>
        <u/>
      </rPr>
      <t>http://localhost:8080/products/MOUSE-001/stock</t>
    </r>
    <r>
      <rPr>
        <color theme="1"/>
        <sz val="11.0"/>
      </rPr>
      <t xml:space="preserve">
Input Value: -236 (pada field Adjust Stok)
Payload Format:
{\n "amount": -236\n}</t>
    </r>
  </si>
  <si>
    <t>HTTP Status Code / Response: Error Dialog UI ("Gagal update stok: produk tidak ditemukan atau jumlah stok tidak mencukupi").
Hasil Validasi: PASS. Sistem memvalidasi bahwa pengurangan sebesar 236 tidak dapat diproses karena melebihi batas stok. Stok di database tidak berubah.</t>
  </si>
  <si>
    <t>1. Pilih produk dengan jumlah stok terbatas
2. Lakukan permintaan pengurangan stok melebihi ketersediaan
3. Kirimkan pembaruan stok ke sistem</t>
  </si>
  <si>
    <t>1. Open Postman
2. Set Method to POST
3. Set URL to http://localhost:8080/products/MOUSE-001/stock
4. Input reduction quantity greater than available stock (e.g. 100)
5. Click Send</t>
  </si>
  <si>
    <t>{ "action": "reduce", "quantity": 100 }</t>
  </si>
  <si>
    <t>Total Test Cases</t>
  </si>
  <si>
    <t>Sistem menolak transaksi (Status Code 400 Bad Request) dengan pesan "Insufficient stock" dan sisa stok awal tidak berubah (tetap 25).</t>
  </si>
  <si>
    <t>https://drive.google.com/file/d/16Z-1uB6BiHghHQp4OKoAxCNK1R2ilau7/view?usp=drive_link</t>
  </si>
  <si>
    <t>- Status: CLEAR / NO BUG
- Catatan QA: Validasi batas stok (negative boundary validation) berfungsi dengan sangat baik di layer backend.</t>
  </si>
  <si>
    <t>TC-STK-004</t>
  </si>
  <si>
    <t>Pengujian TC-STK-004 (Check Low Stock list API) telah selesai dilaksanakan. API berhasil menyajikan daftar produk yang hanya berisikan produk-produk bernilai stok &lt;=5 dengan status code 200 OK. Status: PASS.</t>
  </si>
  <si>
    <t>Modul: Stock
Skenario: Check Low Stock list API
Tipe: Positive
Env: Docker / API (http://localhost:8080)</t>
  </si>
  <si>
    <r>
      <rPr>
        <color theme="1"/>
        <sz val="11.0"/>
      </rPr>
      <t xml:space="preserve">Langkah Pengujian:
1. Pastikan terdapat produk dengan sisa stok &lt;= 5
2. Minta sistem menampilkan daftar produk kategori "Low Stock"
Test Data: Product with Stock &lt;= 5
Metode &amp; Endpoint: GET </t>
    </r>
    <r>
      <rPr>
        <color rgb="FF1155CC"/>
        <sz val="11.0"/>
        <u/>
      </rPr>
      <t>http://localhost:8080/products/low-stock</t>
    </r>
  </si>
  <si>
    <t>HTTP Status Code: 400 Bad Request
Hasil Validasi: Server menolak request karena enum/parameter action tidak dikenali ("invalid action type"). Datastore tidak mengalami perubahan.</t>
  </si>
  <si>
    <t>Passed</t>
  </si>
  <si>
    <t>1. Pastikan terdapat produk dengan sisa stok &lt;= 5
2. Minta sistem menampilkan daftar produk kategori "Low Stock"</t>
  </si>
  <si>
    <t>1. Create a product with Stock &lt;= 5 (e.g. Stock = 3)
2. Set Method to GET
3. Set URL to http://localhost:8080/products/low-stock
4. Click Send</t>
  </si>
  <si>
    <t>Product with Stock &lt;= 5</t>
  </si>
  <si>
    <t>Sistem menyajikan daftar produk yang hanya berisikan produk-produk bernilai stok &lt;=5 (Status Code 200 OK).</t>
  </si>
  <si>
    <t>https://drive.google.com/file/d/1V4nprvpvEL6wz7sY4j9i_7uv3Q0MlSQj/view?usp=drive_link</t>
  </si>
  <si>
    <t>- Status: CLEAR / NO BUG
- Catatan QA: Filter API untuk daftar produk bernilai stok &lt;=5 berjalan dengan benar.</t>
  </si>
  <si>
    <t>TC-STK-005</t>
  </si>
  <si>
    <t>Pengujian TC-STK-005 (Low Stock visual alert in UI) telah selesai dilaksanakan. Tampilan jumlah stok di antarmuka web berhasil memunculkan indikator penanda/badge peringatan visual berwarna merah (Status: Low Stock). Status: PASS.</t>
  </si>
  <si>
    <t>Modul: Stock
Skenario: Low Stock visual alert in UI
Tipe: Positive
Env: Web Dashboard Inventoris (http://localhost:8080)</t>
  </si>
  <si>
    <t>Failed</t>
  </si>
  <si>
    <t>Langkah Pengujian:
1. Buka antarmuka Web Dashboard Inventoris
2. Cari produk MOUSE-001
3. Kurangi stok hingga tersisa &lt;=5
4. Amati tampilan baris produk pada tabel
Test Data: Stock &lt;= 5</t>
  </si>
  <si>
    <t>HTTP Status Code / Result: UI Visual Indicator Verification
Hasil Validasi: PASS. Tampilan jumlah stok di antarmuka web memunculkan indikator penanda/badge peringatan visual berwarna merah (Status: Low Stock).</t>
  </si>
  <si>
    <t>1. Buka antarmuka Web Dashboard Inventoris
2. Cari produk MOUSE-001
3. Kurangi stok hingga tersisa &lt;=5
4. Amati tampilan baris produk pada tabel</t>
  </si>
  <si>
    <t>1. Open Web UI at http://localhost:8080/
2. Find product "MOUSE-001"
3. Reduce stock until remaining stock &lt;= 5
4. Observe the Product Row in the UI Table</t>
  </si>
  <si>
    <t>Stock &lt;= 5</t>
  </si>
  <si>
    <t>Tampilan jumlah stok di antarmuka web memunculkan indikator penanda/badge peringatan visual berwarna merah (Status: Low Stock).</t>
  </si>
  <si>
    <t>https://drive.google.com/file/d/1d4YgYfQ9gS5vz6lY9hk3lVQw3OfDTprJ/view?usp=drive_link</t>
  </si>
  <si>
    <t>Blocked</t>
  </si>
  <si>
    <t>- Status: CLEAR / NO BUG
- Catatan QA: Penanganan tampilan indikator visual penanda low stock pada Web UI Dashboard berjalan sesuai spesifikasi.</t>
  </si>
  <si>
    <t>TC-LOG-001</t>
  </si>
  <si>
    <t>Pengujian TC-LOG-001 (Verify stock movement audit log) telah selesai dilaksanakan. Sistem berhasil menampilkan catatan riwayat pergerakan stok berisi jenis aksi (reduce), jumlah (5), dan timestamp transaksi dengan status 200 OK. Status: PASS.</t>
  </si>
  <si>
    <t>Modul: Audit Log
Skenario: Verify stock movement audit log
Tipe: Positive
Env: Docker / API (http://localhost:8080)</t>
  </si>
  <si>
    <r>
      <rPr>
        <color theme="1"/>
        <sz val="11.0"/>
      </rPr>
      <t xml:space="preserve">Langkah Pengujian:
1. Lakukan transaksi perubahan stok pada produk MOUSE-001
2. Akses modul riwayat (Audit Log) produk tersebut
Test Data: SKU: MOUSE-001
Metode &amp; Endpoint: GET </t>
    </r>
    <r>
      <rPr>
        <color rgb="FF1155CC"/>
        <sz val="11.0"/>
        <u/>
      </rPr>
      <t>http://localhost:8080/products/MOUSE-001/logs</t>
    </r>
  </si>
  <si>
    <t>HTTP Status Code: 200 OK
Hasil Validasi: PASS. Sistem menampilkan catatan riwayat pergerakan stok (Status Code 200 OK) berisi jenis aksi (reduce), jumlah (5), dan timestamp transaksi.</t>
  </si>
  <si>
    <t>QA Sign-Off Status</t>
  </si>
  <si>
    <t>1. Lakukan transaksi perubahan stok pada produk MOUSE-001
2. Akses modul riwayat (Audit Log) produk tersebut</t>
  </si>
  <si>
    <t>1. Perform Stock Reduction on "MOUSE-001"
2. Set Method to GET
3. Set URL to http://localhost:8080/products/MOUSE-001/logs
4. Click Send</t>
  </si>
  <si>
    <t>SKU: MOUSE-001</t>
  </si>
  <si>
    <t>Sistem menampilkan catatan riwayat pergerakan stok (Status Code 200 OK) berisi jenis aksi (reduce), jumlah (5), dan timestamp transaksi.</t>
  </si>
  <si>
    <t>https://drive.google.com/file/d/1N9ZJrtKx7GcsQcRQcxVSkJvL1Oc7ffNi/view?usp=drive_link</t>
  </si>
  <si>
    <t>- Status: CLEAR / NO BUG
- Catatan QA: Modul riwayat (Audit Log) berhasil mencatat pergerakan stok secara detail dan transparan.</t>
  </si>
  <si>
    <t>TC-MID-001</t>
  </si>
  <si>
    <t>Pengujian TC-MID-001 (Panicking route recovery check) telah selesai dilaksanakan. Permintaan awal ditolak dengan aman (Status Code 400 Bad Request). Server tetap berjalan normal tanpa crash dan sukses melayani permintaan normal berikutnya. Status: PASS.</t>
  </si>
  <si>
    <t>Modul: Resilience
Skenario: Panicking route recovery check
Tipe: Negative
Env: Docker / API (http://localhost:8080)</t>
  </si>
  <si>
    <t>Langkah Pengujian:
1. Kirimkan struktur data/payload yang cacat/rusak ke server
2. Amati penanganan error dari server
3. Lakukan permintaan data normal untuk verifikasi kesehatan server
Test Data: Body: { bad json syntax }
Metode &amp; Endpoint: POST http://localhost:8080/products</t>
  </si>
  <si>
    <t>HTTP Status Code: 400 Bad Request
Hasil Validasi: PASS. Permintaan awal ditolak dengan aman (Status Code 400 Bad Request). Server tetap berjalan normal tanpa crash dan sukses melayani permintaan normal berikutnya.</t>
  </si>
  <si>
    <t>1. Kirimkan struktur data/payload yang cacat/rusak ke server
2. Amati penanganan error dari server
3. Lakukan permintaan data normal untuk verifikasi kesehatan server</t>
  </si>
  <si>
    <t>1. Set Method to POST
2. Set URL to http://localhost:8080/products
3. Send corrupted / malformed JSON body
4. Click Send
5. Send GET /products to verify server health</t>
  </si>
  <si>
    <t>Body: { bad json syntax }</t>
  </si>
  <si>
    <t>Permintaan awal ditolak dengan aman (Status Code 400 Bad Request). Server tetap berjalan normal tanpa crash dan sukses melayani permintaan normal berikutnya.</t>
  </si>
  <si>
    <t>1.https://drive.google.com/file/d/1yZ2VcZrT_6tgdvUQwX_NC-lcnsJGenSm/view?usp=drive_link
2.https://drive.google.com/file/d/1j4mqQC2fA3GFDVqArVmWy8S-W4oqTX1e/view?usp=drive_link</t>
  </si>
  <si>
    <t>- Status: CLEAR / NO BUG
- Catatan QA: Penanganan ketahanan server (resilience/recovery) terbukti efektif saat menerima payload cacat.</t>
  </si>
  <si>
    <t>TEST CASES SPECIFICATION (DECLARATIVE STEPS)</t>
  </si>
  <si>
    <t>TC ID</t>
  </si>
  <si>
    <t>Module</t>
  </si>
  <si>
    <t>Test Scenario</t>
  </si>
  <si>
    <t>Type</t>
  </si>
  <si>
    <t>Steps to Execute</t>
  </si>
  <si>
    <t>Product</t>
  </si>
  <si>
    <t>Create product with valid payload</t>
  </si>
  <si>
    <t>Positive</t>
  </si>
  <si>
    <t>1. Akses modul pendaftaran produk
2. Masukkan data produk baru yang valid
3. Kirimkan permintaan pembuatan produk
4. Verifikasi simpanan data</t>
  </si>
  <si>
    <t>{ "sku": "LAPTOP-001", "name": "Gaming Laptop", "price": 15000000, "stock": 10 }</t>
  </si>
  <si>
    <t>Sistem berhasil menyimpan data produk baru (Status Code 201 Created) dan mengembalikan detail ID, SKU, nama, harga, stok, serta timestamp.</t>
  </si>
  <si>
    <t>Create product with duplicate SKU</t>
  </si>
  <si>
    <t>Negative</t>
  </si>
  <si>
    <t>Fetch all products list</t>
  </si>
  <si>
    <t>Update product details</t>
  </si>
  <si>
    <t>Delete existing product</t>
  </si>
  <si>
    <t>Add product via Web UI</t>
  </si>
  <si>
    <t>Stock</t>
  </si>
  <si>
    <t>Restock valid quantity</t>
  </si>
  <si>
    <t>Reduce stock within limit</t>
  </si>
  <si>
    <t>Negative stock protection</t>
  </si>
  <si>
    <t>Check Low Stock list API</t>
  </si>
  <si>
    <t>Low Stock visual alert in UI</t>
  </si>
  <si>
    <t>Audit Log</t>
  </si>
  <si>
    <t>Verify stock movement audit log</t>
  </si>
  <si>
    <t>Resilience</t>
  </si>
  <si>
    <t>Panicking route recovery check</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</si>
</sst>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3F3F3"/>
      <name val="Arial"/>
      <scheme val="minor"/>
    </font>
    <font>
      <sz val="11.0"/>
      <color theme="1"/>
      <name val="Arial"/>
      <scheme val="minor"/>
    </font>
    <font>
      <color theme="1"/>
      <name val="Arial"/>
      <scheme val="minor"/>
    </font>
    <font>
      <sz val="11.0"/>
      <color theme="4"/>
      <name val="Arial"/>
      <scheme val="minor"/>
    </font>
    <font>
      <b/>
      <sz val="11.0"/>
      <color theme="1"/>
      <name val="Arial"/>
      <scheme val="minor"/>
    </font>
    <font>
      <u/>
      <sz val="11.0"/>
      <color theme="1"/>
    </font>
    <font>
      <u/>
      <sz val="11.0"/>
      <color theme="4"/>
    </font>
    <font>
      <b/>
      <color rgb="FFFFFFFF"/>
      <name val="Arial"/>
      <scheme val="minor"/>
    </font>
    <font>
      <color theme="1"/>
      <name val="&quot;Google Sans Text&quot;"/>
    </font>
  </fonts>
  <fills count="6">
    <fill>
      <patternFill patternType="none"/>
    </fill>
    <fill>
      <patternFill patternType="lightGray"/>
    </fill>
    <fill>
      <patternFill patternType="solid">
        <fgColor rgb="FF1C3144"/>
        <bgColor rgb="FF1C3144"/>
      </patternFill>
    </fill>
    <fill>
      <patternFill patternType="solid">
        <fgColor theme="7"/>
        <bgColor theme="7"/>
      </patternFill>
    </fill>
    <fill>
      <patternFill patternType="solid">
        <fgColor theme="5"/>
        <bgColor theme="5"/>
      </patternFill>
    </fill>
    <fill>
      <patternFill patternType="solid">
        <fgColor theme="6"/>
        <bgColor theme="6"/>
      </patternFill>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readingOrder="0" shrinkToFit="0" vertical="center" wrapText="1"/>
    </xf>
    <xf borderId="0" fillId="0" fontId="3" numFmtId="0" xfId="0" applyAlignment="1" applyFont="1">
      <alignment shrinkToFit="0"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2" numFmtId="0" xfId="0" applyAlignment="1" applyFont="1">
      <alignment readingOrder="0" shrinkToFit="0" vertical="top"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4" numFmtId="0" xfId="0" applyAlignment="1" applyFont="1">
      <alignment readingOrder="0" shrinkToFit="0" vertical="top" wrapText="1"/>
    </xf>
    <xf borderId="0" fillId="2" fontId="8" numFmtId="0" xfId="0" applyAlignment="1" applyFont="1">
      <alignment horizontal="center" readingOrder="0" shrinkToFit="0" wrapText="1"/>
    </xf>
    <xf borderId="0" fillId="3" fontId="3" numFmtId="0" xfId="0" applyAlignment="1" applyFill="1" applyFont="1">
      <alignment readingOrder="0" shrinkToFit="0" wrapText="1"/>
    </xf>
    <xf borderId="0" fillId="4" fontId="3" numFmtId="0" xfId="0" applyAlignment="1" applyFill="1" applyFont="1">
      <alignment readingOrder="0" shrinkToFit="0" wrapText="1"/>
    </xf>
    <xf borderId="0" fillId="5" fontId="3" numFmtId="0" xfId="0" applyAlignment="1" applyFill="1" applyFont="1">
      <alignment readingOrder="0" shrinkToFit="0" wrapText="1"/>
    </xf>
    <xf borderId="1" fillId="0" fontId="9" numFmtId="0" xfId="0" applyAlignment="1" applyBorder="1" applyFont="1">
      <alignment readingOrder="0" shrinkToFit="0" vertical="top" wrapText="1"/>
    </xf>
    <xf borderId="0" fillId="0" fontId="3" numFmtId="0" xfId="0" applyAlignment="1" applyFont="1">
      <alignment readingOrder="0" shrinkToFit="0" vertical="center" wrapText="1"/>
    </xf>
    <xf borderId="0" fillId="0" fontId="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N9ZJrtKx7GcsQcRQcxVSkJvL1Oc7ffNi/view?usp=drive_link" TargetMode="External"/><Relationship Id="rId11" Type="http://schemas.openxmlformats.org/officeDocument/2006/relationships/hyperlink" Target="http://localhost:8080/products/MOUSE-001/stock" TargetMode="External"/><Relationship Id="rId10" Type="http://schemas.openxmlformats.org/officeDocument/2006/relationships/hyperlink" Target="https://drive.google.com/file/d/10Zx94hFXa07AVOoxRe3hF9UpXFPvHsUH/view?usp=drive_link" TargetMode="External"/><Relationship Id="rId21" Type="http://schemas.openxmlformats.org/officeDocument/2006/relationships/drawing" Target="../drawings/drawing2.xml"/><Relationship Id="rId13" Type="http://schemas.openxmlformats.org/officeDocument/2006/relationships/hyperlink" Target="https://drive.google.com/file/d/15a4Ub87L8CPdh19eeKaFS5GlQV-2Fsdv/view?usp=drive_link" TargetMode="External"/><Relationship Id="rId12" Type="http://schemas.openxmlformats.org/officeDocument/2006/relationships/hyperlink" Target="https://drive.google.com/file/d/15BCMbdXcl4nt72s-wDXRDaM1L-zWPZq0/view?usp=drive_link" TargetMode="External"/><Relationship Id="rId1" Type="http://schemas.openxmlformats.org/officeDocument/2006/relationships/hyperlink" Target="http://localhost:8080/products" TargetMode="External"/><Relationship Id="rId2" Type="http://schemas.openxmlformats.org/officeDocument/2006/relationships/hyperlink" Target="http://localhost:8080/products" TargetMode="External"/><Relationship Id="rId3" Type="http://schemas.openxmlformats.org/officeDocument/2006/relationships/hyperlink" Target="https://drive.google.com/file/d/1iR8MfYwozNC_b7mZfEJkLtjaQiDTP8bl/view?usp=drive_link" TargetMode="External"/><Relationship Id="rId4" Type="http://schemas.openxmlformats.org/officeDocument/2006/relationships/hyperlink" Target="https://drive.google.com/file/d/1HWyQkwOU5MqUpgYmZtknKXYyYeoeAxGD/view?usp=drive_link" TargetMode="External"/><Relationship Id="rId9" Type="http://schemas.openxmlformats.org/officeDocument/2006/relationships/hyperlink" Target="http://localhost:8080/products" TargetMode="External"/><Relationship Id="rId15" Type="http://schemas.openxmlformats.org/officeDocument/2006/relationships/hyperlink" Target="https://drive.google.com/file/d/1zQ0P3ftPtjTG6KSPwGjW1iuzNhviIjnt/view?usp=drive_link" TargetMode="External"/><Relationship Id="rId14" Type="http://schemas.openxmlformats.org/officeDocument/2006/relationships/hyperlink" Target="http://localhost:8080/products/MOUSE-001/stock" TargetMode="External"/><Relationship Id="rId17" Type="http://schemas.openxmlformats.org/officeDocument/2006/relationships/hyperlink" Target="https://drive.google.com/file/d/1V4nprvpvEL6wz7sY4j9i_7uv3Q0MlSQj/view?usp=drive_link" TargetMode="External"/><Relationship Id="rId16" Type="http://schemas.openxmlformats.org/officeDocument/2006/relationships/hyperlink" Target="http://localhost:8080/products/low-stock" TargetMode="External"/><Relationship Id="rId5" Type="http://schemas.openxmlformats.org/officeDocument/2006/relationships/hyperlink" Target="https://drive.google.com/file/d/1aHt2sF9i5TyR-OnzSJQL7agBKD7HXKMA/view?usp=drive_link" TargetMode="External"/><Relationship Id="rId19" Type="http://schemas.openxmlformats.org/officeDocument/2006/relationships/hyperlink" Target="http://localhost:8080/products/MOUSE-001/logs" TargetMode="External"/><Relationship Id="rId6" Type="http://schemas.openxmlformats.org/officeDocument/2006/relationships/hyperlink" Target="http://localhost:8080/products/LAPTOP-001" TargetMode="External"/><Relationship Id="rId18" Type="http://schemas.openxmlformats.org/officeDocument/2006/relationships/hyperlink" Target="https://drive.google.com/file/d/1d4YgYfQ9gS5vz6lY9hk3lVQw3OfDTprJ/view?usp=drive_link" TargetMode="External"/><Relationship Id="rId7" Type="http://schemas.openxmlformats.org/officeDocument/2006/relationships/hyperlink" Target="https://drive.google.com/file/d/1fNONWtZNyhZc4RgPzO4IrZYpl3JFPXn3/view?usp=drive_link" TargetMode="External"/><Relationship Id="rId8" Type="http://schemas.openxmlformats.org/officeDocument/2006/relationships/hyperlink" Target="http://localhost:8080/products/LAPTOP-0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7.63"/>
    <col customWidth="1" min="3" max="3" width="27.25"/>
    <col customWidth="1" min="4" max="4" width="9.13"/>
    <col customWidth="1" min="5" max="5" width="56.13"/>
    <col customWidth="1" min="6" max="6" width="45.25"/>
    <col customWidth="1" min="7" max="7" width="34.5"/>
  </cols>
  <sheetData>
    <row r="1">
      <c r="A1" s="1" t="s">
        <v>0</v>
      </c>
      <c r="I1" s="3"/>
      <c r="J1" s="3"/>
      <c r="K1" s="3"/>
      <c r="L1" s="3"/>
      <c r="M1" s="3"/>
      <c r="N1" s="3"/>
      <c r="O1" s="3"/>
      <c r="P1" s="3"/>
      <c r="Q1" s="3"/>
      <c r="R1" s="3"/>
      <c r="S1" s="3"/>
      <c r="T1" s="3"/>
      <c r="U1" s="3"/>
      <c r="V1" s="3"/>
      <c r="W1" s="3"/>
      <c r="X1" s="3"/>
      <c r="Y1" s="3"/>
      <c r="Z1" s="3"/>
    </row>
    <row r="2">
      <c r="A2" s="7" t="s">
        <v>16</v>
      </c>
      <c r="B2" s="8" t="s">
        <v>17</v>
      </c>
      <c r="I2" s="3"/>
      <c r="J2" s="3"/>
      <c r="K2" s="3"/>
      <c r="L2" s="3"/>
      <c r="M2" s="3"/>
      <c r="N2" s="3"/>
      <c r="O2" s="3"/>
      <c r="P2" s="3"/>
      <c r="Q2" s="3"/>
      <c r="R2" s="3"/>
      <c r="S2" s="3"/>
      <c r="T2" s="3"/>
      <c r="U2" s="3"/>
      <c r="V2" s="3"/>
      <c r="W2" s="3"/>
      <c r="X2" s="3"/>
      <c r="Y2" s="3"/>
      <c r="Z2" s="3"/>
    </row>
    <row r="3">
      <c r="A3" s="9" t="s">
        <v>19</v>
      </c>
      <c r="B3" s="9" t="s">
        <v>20</v>
      </c>
      <c r="I3" s="3"/>
      <c r="J3" s="3"/>
      <c r="K3" s="3"/>
      <c r="L3" s="3"/>
      <c r="M3" s="3"/>
      <c r="N3" s="3"/>
      <c r="O3" s="3"/>
      <c r="P3" s="3"/>
      <c r="Q3" s="3"/>
      <c r="R3" s="3"/>
      <c r="S3" s="3"/>
      <c r="T3" s="3"/>
      <c r="U3" s="3"/>
      <c r="V3" s="3"/>
      <c r="W3" s="3"/>
      <c r="X3" s="3"/>
      <c r="Y3" s="3"/>
      <c r="Z3" s="3"/>
    </row>
    <row r="4">
      <c r="A4" s="9" t="s">
        <v>21</v>
      </c>
      <c r="B4" s="9" t="s">
        <v>22</v>
      </c>
      <c r="I4" s="3"/>
      <c r="J4" s="3"/>
      <c r="K4" s="3"/>
      <c r="L4" s="3"/>
      <c r="M4" s="3"/>
      <c r="N4" s="3"/>
      <c r="O4" s="3"/>
      <c r="P4" s="3"/>
      <c r="Q4" s="3"/>
      <c r="R4" s="3"/>
      <c r="S4" s="3"/>
      <c r="T4" s="3"/>
      <c r="U4" s="3"/>
      <c r="V4" s="3"/>
      <c r="W4" s="3"/>
      <c r="X4" s="3"/>
      <c r="Y4" s="3"/>
      <c r="Z4" s="3"/>
    </row>
    <row r="5">
      <c r="A5" s="9" t="s">
        <v>23</v>
      </c>
      <c r="B5" s="9" t="s">
        <v>24</v>
      </c>
      <c r="I5" s="3"/>
      <c r="J5" s="3"/>
      <c r="K5" s="3"/>
      <c r="L5" s="3"/>
      <c r="M5" s="3"/>
      <c r="N5" s="3"/>
      <c r="O5" s="3"/>
      <c r="P5" s="3"/>
      <c r="Q5" s="3"/>
      <c r="R5" s="3"/>
      <c r="S5" s="3"/>
      <c r="T5" s="3"/>
      <c r="U5" s="3"/>
      <c r="V5" s="3"/>
      <c r="W5" s="3"/>
      <c r="X5" s="3"/>
      <c r="Y5" s="3"/>
      <c r="Z5" s="3"/>
    </row>
    <row r="6">
      <c r="A6" s="9" t="s">
        <v>30</v>
      </c>
      <c r="B6" s="9" t="s">
        <v>31</v>
      </c>
      <c r="I6" s="3"/>
      <c r="J6" s="3"/>
      <c r="K6" s="3"/>
      <c r="L6" s="3"/>
      <c r="M6" s="3"/>
      <c r="N6" s="3"/>
      <c r="O6" s="3"/>
      <c r="P6" s="3"/>
      <c r="Q6" s="3"/>
      <c r="R6" s="3"/>
      <c r="S6" s="3"/>
      <c r="T6" s="3"/>
      <c r="U6" s="3"/>
      <c r="V6" s="3"/>
      <c r="W6" s="3"/>
      <c r="X6" s="3"/>
      <c r="Y6" s="3"/>
      <c r="Z6" s="3"/>
    </row>
    <row r="7">
      <c r="A7" s="9" t="s">
        <v>32</v>
      </c>
      <c r="B7" s="9" t="s">
        <v>35</v>
      </c>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13" t="s">
        <v>112</v>
      </c>
      <c r="I9" s="3"/>
      <c r="J9" s="3"/>
      <c r="K9" s="3"/>
      <c r="L9" s="3"/>
      <c r="M9" s="3"/>
      <c r="N9" s="3"/>
      <c r="O9" s="3"/>
      <c r="P9" s="3"/>
      <c r="Q9" s="3"/>
      <c r="R9" s="3"/>
      <c r="S9" s="3"/>
      <c r="T9" s="3"/>
      <c r="U9" s="3"/>
      <c r="V9" s="3"/>
      <c r="W9" s="3"/>
      <c r="X9" s="3"/>
      <c r="Y9" s="3"/>
      <c r="Z9" s="3"/>
    </row>
    <row r="10">
      <c r="A10" s="9" t="s">
        <v>122</v>
      </c>
      <c r="B10" s="9">
        <f>COUNTA('Test Cases'!J2:J14)</f>
        <v>13</v>
      </c>
      <c r="C10" s="3"/>
      <c r="D10" s="3"/>
      <c r="E10" s="3"/>
      <c r="F10" s="3"/>
      <c r="G10" s="3"/>
      <c r="H10" s="3"/>
      <c r="I10" s="3"/>
      <c r="J10" s="3"/>
      <c r="K10" s="3"/>
      <c r="L10" s="3"/>
      <c r="M10" s="3"/>
      <c r="N10" s="3"/>
      <c r="O10" s="3"/>
      <c r="P10" s="3"/>
      <c r="Q10" s="3"/>
      <c r="R10" s="3"/>
      <c r="S10" s="3"/>
      <c r="T10" s="3"/>
      <c r="U10" s="3"/>
      <c r="V10" s="3"/>
      <c r="W10" s="3"/>
      <c r="X10" s="3"/>
      <c r="Y10" s="3"/>
      <c r="Z10" s="3"/>
    </row>
    <row r="11">
      <c r="A11" s="9" t="s">
        <v>131</v>
      </c>
      <c r="B11" s="14">
        <f>COUNTIF('Test Cases'!J2:J14, "PASS")</f>
        <v>13</v>
      </c>
      <c r="C11" s="3"/>
      <c r="D11" s="3"/>
      <c r="E11" s="3"/>
      <c r="F11" s="3"/>
      <c r="G11" s="3"/>
      <c r="H11" s="3"/>
      <c r="I11" s="3"/>
      <c r="J11" s="3"/>
      <c r="K11" s="3"/>
      <c r="L11" s="3"/>
      <c r="M11" s="3"/>
      <c r="N11" s="3"/>
      <c r="O11" s="3"/>
      <c r="P11" s="3"/>
      <c r="Q11" s="3"/>
      <c r="R11" s="3"/>
      <c r="S11" s="3"/>
      <c r="T11" s="3"/>
      <c r="U11" s="3"/>
      <c r="V11" s="3"/>
      <c r="W11" s="3"/>
      <c r="X11" s="3"/>
      <c r="Y11" s="3"/>
      <c r="Z11" s="3"/>
    </row>
    <row r="12">
      <c r="A12" s="9" t="s">
        <v>141</v>
      </c>
      <c r="B12" s="15">
        <f>COUNTIF('Test Cases'!J2:J14, "FAIL")</f>
        <v>0</v>
      </c>
      <c r="C12" s="3"/>
      <c r="D12" s="3"/>
      <c r="E12" s="3"/>
      <c r="F12" s="3"/>
      <c r="G12" s="3"/>
      <c r="H12" s="3"/>
      <c r="I12" s="3"/>
      <c r="J12" s="3"/>
      <c r="K12" s="3"/>
      <c r="L12" s="3"/>
      <c r="M12" s="3"/>
      <c r="N12" s="3"/>
      <c r="O12" s="3"/>
      <c r="P12" s="3"/>
      <c r="Q12" s="3"/>
      <c r="R12" s="3"/>
      <c r="S12" s="3"/>
      <c r="T12" s="3"/>
      <c r="U12" s="3"/>
      <c r="V12" s="3"/>
      <c r="W12" s="3"/>
      <c r="X12" s="3"/>
      <c r="Y12" s="3"/>
      <c r="Z12" s="3"/>
    </row>
    <row r="13">
      <c r="A13" s="9" t="s">
        <v>149</v>
      </c>
      <c r="B13" s="16">
        <f>COUNTIF('Test Cases'!J2:J14, "BLOCKED")</f>
        <v>0</v>
      </c>
      <c r="C13" s="3"/>
      <c r="D13" s="3"/>
      <c r="E13" s="3"/>
      <c r="F13" s="3"/>
      <c r="G13" s="3"/>
      <c r="H13" s="3"/>
      <c r="I13" s="3"/>
      <c r="J13" s="3"/>
      <c r="K13" s="3"/>
      <c r="L13" s="3"/>
      <c r="M13" s="3"/>
      <c r="N13" s="3"/>
      <c r="O13" s="3"/>
      <c r="P13" s="3"/>
      <c r="Q13" s="3"/>
      <c r="R13" s="3"/>
      <c r="S13" s="3"/>
      <c r="T13" s="3"/>
      <c r="U13" s="3"/>
      <c r="V13" s="3"/>
      <c r="W13" s="3"/>
      <c r="X13" s="3"/>
      <c r="Y13" s="3"/>
      <c r="Z13" s="3"/>
    </row>
    <row r="14">
      <c r="A14" s="9" t="s">
        <v>156</v>
      </c>
      <c r="B14" s="9" t="str">
        <f>IF(B11=B10, "PASSED ✅", IF(B12&gt;0, "REJECTED ❌", "IN PROGRESS ⏳"))</f>
        <v>PASSED ✅</v>
      </c>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13" t="s">
        <v>174</v>
      </c>
      <c r="I16" s="3"/>
      <c r="J16" s="3"/>
      <c r="K16" s="3"/>
      <c r="L16" s="3"/>
      <c r="M16" s="3"/>
      <c r="N16" s="3"/>
      <c r="O16" s="3"/>
      <c r="P16" s="3"/>
      <c r="Q16" s="3"/>
      <c r="R16" s="3"/>
      <c r="S16" s="3"/>
      <c r="T16" s="3"/>
      <c r="U16" s="3"/>
      <c r="V16" s="3"/>
      <c r="W16" s="3"/>
      <c r="X16" s="3"/>
      <c r="Y16" s="3"/>
      <c r="Z16" s="3"/>
    </row>
    <row r="17">
      <c r="A17" s="9" t="s">
        <v>175</v>
      </c>
      <c r="B17" s="9" t="s">
        <v>176</v>
      </c>
      <c r="C17" s="9" t="s">
        <v>177</v>
      </c>
      <c r="D17" s="9" t="s">
        <v>178</v>
      </c>
      <c r="E17" s="9" t="s">
        <v>179</v>
      </c>
      <c r="F17" s="9" t="s">
        <v>8</v>
      </c>
      <c r="G17" s="9" t="s">
        <v>9</v>
      </c>
      <c r="H17" s="9" t="s">
        <v>10</v>
      </c>
      <c r="I17" s="3"/>
      <c r="J17" s="3"/>
      <c r="K17" s="3"/>
      <c r="L17" s="3"/>
      <c r="M17" s="3"/>
      <c r="N17" s="3"/>
      <c r="O17" s="3"/>
      <c r="P17" s="3"/>
      <c r="Q17" s="3"/>
      <c r="R17" s="3"/>
      <c r="S17" s="3"/>
      <c r="T17" s="3"/>
      <c r="U17" s="3"/>
      <c r="V17" s="3"/>
      <c r="W17" s="3"/>
      <c r="X17" s="3"/>
      <c r="Y17" s="3"/>
      <c r="Z17" s="3"/>
    </row>
    <row r="18">
      <c r="A18" s="18" t="s">
        <v>13</v>
      </c>
      <c r="B18" s="18" t="s">
        <v>180</v>
      </c>
      <c r="C18" s="18" t="s">
        <v>181</v>
      </c>
      <c r="D18" s="18" t="s">
        <v>182</v>
      </c>
      <c r="E18" s="18" t="s">
        <v>183</v>
      </c>
      <c r="F18" s="18" t="s">
        <v>184</v>
      </c>
      <c r="G18" s="18" t="s">
        <v>185</v>
      </c>
      <c r="H18" s="18" t="str">
        <f>'Test Cases'!J2</f>
        <v>PASS</v>
      </c>
      <c r="I18" s="3"/>
      <c r="J18" s="3"/>
      <c r="K18" s="3"/>
      <c r="L18" s="3"/>
      <c r="M18" s="3"/>
      <c r="N18" s="3"/>
      <c r="O18" s="3"/>
      <c r="P18" s="3"/>
      <c r="Q18" s="3"/>
      <c r="R18" s="3"/>
      <c r="S18" s="3"/>
      <c r="T18" s="3"/>
      <c r="U18" s="3"/>
      <c r="V18" s="3"/>
      <c r="W18" s="3"/>
      <c r="X18" s="3"/>
      <c r="Y18" s="3"/>
      <c r="Z18" s="3"/>
    </row>
    <row r="19">
      <c r="A19" s="19" t="s">
        <v>37</v>
      </c>
      <c r="B19" s="18" t="s">
        <v>180</v>
      </c>
      <c r="C19" s="18" t="s">
        <v>186</v>
      </c>
      <c r="D19" s="18" t="s">
        <v>187</v>
      </c>
      <c r="E19" s="18" t="s">
        <v>42</v>
      </c>
      <c r="F19" s="18" t="s">
        <v>44</v>
      </c>
      <c r="G19" s="18" t="s">
        <v>45</v>
      </c>
      <c r="H19" s="18" t="str">
        <f>'Test Cases'!J3</f>
        <v>PASS</v>
      </c>
      <c r="I19" s="3"/>
      <c r="J19" s="3"/>
      <c r="K19" s="3"/>
      <c r="L19" s="3"/>
      <c r="M19" s="3"/>
      <c r="N19" s="3"/>
      <c r="O19" s="3"/>
      <c r="P19" s="3"/>
      <c r="Q19" s="3"/>
      <c r="R19" s="3"/>
      <c r="S19" s="3"/>
      <c r="T19" s="3"/>
      <c r="U19" s="3"/>
      <c r="V19" s="3"/>
      <c r="W19" s="3"/>
      <c r="X19" s="3"/>
      <c r="Y19" s="3"/>
      <c r="Z19" s="3"/>
    </row>
    <row r="20">
      <c r="A20" s="19" t="s">
        <v>48</v>
      </c>
      <c r="B20" s="18" t="s">
        <v>180</v>
      </c>
      <c r="C20" s="18" t="s">
        <v>188</v>
      </c>
      <c r="D20" s="18" t="s">
        <v>182</v>
      </c>
      <c r="E20" s="18" t="s">
        <v>53</v>
      </c>
      <c r="F20" s="18" t="s">
        <v>55</v>
      </c>
      <c r="G20" s="18" t="s">
        <v>56</v>
      </c>
      <c r="H20" s="18" t="str">
        <f>'Test Cases'!J4</f>
        <v>PASS</v>
      </c>
      <c r="I20" s="3"/>
      <c r="J20" s="3"/>
      <c r="K20" s="3"/>
      <c r="L20" s="3"/>
      <c r="M20" s="3"/>
      <c r="N20" s="3"/>
      <c r="O20" s="3"/>
      <c r="P20" s="3"/>
      <c r="Q20" s="3"/>
      <c r="R20" s="3"/>
      <c r="S20" s="3"/>
      <c r="T20" s="3"/>
      <c r="U20" s="3"/>
      <c r="V20" s="3"/>
      <c r="W20" s="3"/>
      <c r="X20" s="3"/>
      <c r="Y20" s="3"/>
      <c r="Z20" s="3"/>
    </row>
    <row r="21">
      <c r="A21" s="19" t="s">
        <v>59</v>
      </c>
      <c r="B21" s="18" t="s">
        <v>180</v>
      </c>
      <c r="C21" s="18" t="s">
        <v>189</v>
      </c>
      <c r="D21" s="18" t="s">
        <v>182</v>
      </c>
      <c r="E21" s="18" t="s">
        <v>64</v>
      </c>
      <c r="F21" s="18" t="s">
        <v>66</v>
      </c>
      <c r="G21" s="18" t="s">
        <v>67</v>
      </c>
      <c r="H21" s="18" t="str">
        <f>'Test Cases'!J5</f>
        <v>PASS</v>
      </c>
      <c r="I21" s="3"/>
      <c r="J21" s="3"/>
      <c r="K21" s="3"/>
      <c r="L21" s="3"/>
      <c r="M21" s="3"/>
      <c r="N21" s="3"/>
      <c r="O21" s="3"/>
      <c r="P21" s="3"/>
      <c r="Q21" s="3"/>
      <c r="R21" s="3"/>
      <c r="S21" s="3"/>
      <c r="T21" s="3"/>
      <c r="U21" s="3"/>
      <c r="V21" s="3"/>
      <c r="W21" s="3"/>
      <c r="X21" s="3"/>
      <c r="Y21" s="3"/>
      <c r="Z21" s="3"/>
    </row>
    <row r="22">
      <c r="A22" s="19" t="s">
        <v>70</v>
      </c>
      <c r="B22" s="18" t="s">
        <v>180</v>
      </c>
      <c r="C22" s="18" t="s">
        <v>190</v>
      </c>
      <c r="D22" s="18" t="s">
        <v>182</v>
      </c>
      <c r="E22" s="18" t="s">
        <v>75</v>
      </c>
      <c r="F22" s="18" t="s">
        <v>55</v>
      </c>
      <c r="G22" s="18" t="s">
        <v>77</v>
      </c>
      <c r="H22" s="18" t="str">
        <f>'Test Cases'!J6</f>
        <v>PASS</v>
      </c>
      <c r="I22" s="3"/>
      <c r="J22" s="3"/>
      <c r="K22" s="3"/>
      <c r="L22" s="3"/>
      <c r="M22" s="3"/>
      <c r="N22" s="3"/>
      <c r="O22" s="3"/>
      <c r="P22" s="3"/>
      <c r="Q22" s="3"/>
      <c r="R22" s="3"/>
      <c r="S22" s="3"/>
      <c r="T22" s="3"/>
      <c r="U22" s="3"/>
      <c r="V22" s="3"/>
      <c r="W22" s="3"/>
      <c r="X22" s="3"/>
      <c r="Y22" s="3"/>
      <c r="Z22" s="3"/>
    </row>
    <row r="23">
      <c r="A23" s="19" t="s">
        <v>80</v>
      </c>
      <c r="B23" s="19" t="s">
        <v>180</v>
      </c>
      <c r="C23" s="18" t="s">
        <v>191</v>
      </c>
      <c r="D23" s="18" t="s">
        <v>182</v>
      </c>
      <c r="E23" s="18" t="s">
        <v>85</v>
      </c>
      <c r="F23" s="18" t="s">
        <v>87</v>
      </c>
      <c r="G23" s="18" t="s">
        <v>88</v>
      </c>
      <c r="H23" s="18" t="str">
        <f>'Test Cases'!J7</f>
        <v>PASS</v>
      </c>
      <c r="I23" s="3"/>
      <c r="J23" s="3"/>
      <c r="K23" s="3"/>
      <c r="L23" s="3"/>
      <c r="M23" s="3"/>
      <c r="N23" s="3"/>
      <c r="O23" s="3"/>
      <c r="P23" s="3"/>
      <c r="Q23" s="3"/>
      <c r="R23" s="3"/>
      <c r="S23" s="3"/>
      <c r="T23" s="3"/>
      <c r="U23" s="3"/>
      <c r="V23" s="3"/>
      <c r="W23" s="3"/>
      <c r="X23" s="3"/>
      <c r="Y23" s="3"/>
      <c r="Z23" s="3"/>
    </row>
    <row r="24">
      <c r="A24" s="18" t="s">
        <v>91</v>
      </c>
      <c r="B24" s="18" t="s">
        <v>192</v>
      </c>
      <c r="C24" s="18" t="s">
        <v>193</v>
      </c>
      <c r="D24" s="18" t="s">
        <v>182</v>
      </c>
      <c r="E24" s="18" t="s">
        <v>96</v>
      </c>
      <c r="F24" s="18" t="s">
        <v>98</v>
      </c>
      <c r="G24" s="18" t="s">
        <v>99</v>
      </c>
      <c r="H24" s="18" t="str">
        <f>'Test Cases'!J8</f>
        <v>PASS</v>
      </c>
      <c r="I24" s="3"/>
      <c r="J24" s="3"/>
      <c r="K24" s="3"/>
      <c r="L24" s="3"/>
      <c r="M24" s="3"/>
      <c r="N24" s="3"/>
      <c r="O24" s="3"/>
      <c r="P24" s="3"/>
      <c r="Q24" s="3"/>
      <c r="R24" s="3"/>
      <c r="S24" s="3"/>
      <c r="T24" s="3"/>
      <c r="U24" s="3"/>
      <c r="V24" s="3"/>
      <c r="W24" s="3"/>
      <c r="X24" s="3"/>
      <c r="Y24" s="3"/>
      <c r="Z24" s="3"/>
    </row>
    <row r="25">
      <c r="A25" s="18" t="s">
        <v>102</v>
      </c>
      <c r="B25" s="18" t="s">
        <v>192</v>
      </c>
      <c r="C25" s="18" t="s">
        <v>194</v>
      </c>
      <c r="D25" s="18" t="s">
        <v>182</v>
      </c>
      <c r="E25" s="18" t="s">
        <v>107</v>
      </c>
      <c r="F25" s="18" t="s">
        <v>109</v>
      </c>
      <c r="G25" s="18" t="s">
        <v>110</v>
      </c>
      <c r="H25" s="18" t="str">
        <f>'Test Cases'!J9</f>
        <v>PASS</v>
      </c>
      <c r="I25" s="3"/>
      <c r="J25" s="3"/>
      <c r="K25" s="3"/>
      <c r="L25" s="3"/>
      <c r="M25" s="3"/>
      <c r="N25" s="3"/>
      <c r="O25" s="3"/>
      <c r="P25" s="3"/>
      <c r="Q25" s="3"/>
      <c r="R25" s="3"/>
      <c r="S25" s="3"/>
      <c r="T25" s="3"/>
      <c r="U25" s="3"/>
      <c r="V25" s="3"/>
      <c r="W25" s="3"/>
      <c r="X25" s="3"/>
      <c r="Y25" s="3"/>
      <c r="Z25" s="3"/>
    </row>
    <row r="26">
      <c r="A26" s="19" t="s">
        <v>114</v>
      </c>
      <c r="B26" s="18" t="s">
        <v>192</v>
      </c>
      <c r="C26" s="18" t="s">
        <v>195</v>
      </c>
      <c r="D26" s="18" t="s">
        <v>187</v>
      </c>
      <c r="E26" s="18" t="s">
        <v>119</v>
      </c>
      <c r="F26" s="18" t="s">
        <v>121</v>
      </c>
      <c r="G26" s="18" t="s">
        <v>123</v>
      </c>
      <c r="H26" s="18" t="str">
        <f>'Test Cases'!J10</f>
        <v>PASS</v>
      </c>
      <c r="I26" s="3"/>
      <c r="J26" s="3"/>
      <c r="K26" s="3"/>
      <c r="L26" s="3"/>
      <c r="M26" s="3"/>
      <c r="N26" s="3"/>
      <c r="O26" s="3"/>
      <c r="P26" s="3"/>
      <c r="Q26" s="3"/>
      <c r="R26" s="3"/>
      <c r="S26" s="3"/>
      <c r="T26" s="3"/>
      <c r="U26" s="3"/>
      <c r="V26" s="3"/>
      <c r="W26" s="3"/>
      <c r="X26" s="3"/>
      <c r="Y26" s="3"/>
      <c r="Z26" s="3"/>
    </row>
    <row r="27">
      <c r="A27" s="19" t="s">
        <v>126</v>
      </c>
      <c r="B27" s="18" t="s">
        <v>192</v>
      </c>
      <c r="C27" s="18" t="s">
        <v>196</v>
      </c>
      <c r="D27" s="18" t="s">
        <v>182</v>
      </c>
      <c r="E27" s="18" t="s">
        <v>132</v>
      </c>
      <c r="F27" s="18" t="s">
        <v>134</v>
      </c>
      <c r="G27" s="18" t="s">
        <v>135</v>
      </c>
      <c r="H27" s="18" t="str">
        <f>'Test Cases'!J11</f>
        <v>PASS</v>
      </c>
      <c r="I27" s="3"/>
      <c r="J27" s="3"/>
      <c r="K27" s="3"/>
      <c r="L27" s="3"/>
      <c r="M27" s="3"/>
      <c r="N27" s="3"/>
      <c r="O27" s="3"/>
      <c r="P27" s="3"/>
      <c r="Q27" s="3"/>
      <c r="R27" s="3"/>
      <c r="S27" s="3"/>
      <c r="T27" s="3"/>
      <c r="U27" s="3"/>
      <c r="V27" s="3"/>
      <c r="W27" s="3"/>
      <c r="X27" s="3"/>
      <c r="Y27" s="3"/>
      <c r="Z27" s="3"/>
    </row>
    <row r="28">
      <c r="A28" s="19" t="s">
        <v>138</v>
      </c>
      <c r="B28" s="18" t="s">
        <v>192</v>
      </c>
      <c r="C28" s="18" t="s">
        <v>197</v>
      </c>
      <c r="D28" s="18" t="s">
        <v>182</v>
      </c>
      <c r="E28" s="18" t="s">
        <v>144</v>
      </c>
      <c r="F28" s="18" t="s">
        <v>146</v>
      </c>
      <c r="G28" s="18" t="s">
        <v>147</v>
      </c>
      <c r="H28" s="18" t="str">
        <f>'Test Cases'!J12</f>
        <v>PASS</v>
      </c>
      <c r="I28" s="3"/>
      <c r="J28" s="3"/>
      <c r="K28" s="3"/>
      <c r="L28" s="3"/>
      <c r="M28" s="3"/>
      <c r="N28" s="3"/>
      <c r="O28" s="3"/>
      <c r="P28" s="3"/>
      <c r="Q28" s="3"/>
      <c r="R28" s="3"/>
      <c r="S28" s="3"/>
      <c r="T28" s="3"/>
      <c r="U28" s="3"/>
      <c r="V28" s="3"/>
      <c r="W28" s="3"/>
      <c r="X28" s="3"/>
      <c r="Y28" s="3"/>
      <c r="Z28" s="3"/>
    </row>
    <row r="29">
      <c r="A29" s="18" t="s">
        <v>151</v>
      </c>
      <c r="B29" s="18" t="s">
        <v>198</v>
      </c>
      <c r="C29" s="18" t="s">
        <v>199</v>
      </c>
      <c r="D29" s="18" t="s">
        <v>182</v>
      </c>
      <c r="E29" s="18" t="s">
        <v>157</v>
      </c>
      <c r="F29" s="18" t="s">
        <v>159</v>
      </c>
      <c r="G29" s="18" t="s">
        <v>160</v>
      </c>
      <c r="H29" s="18" t="str">
        <f>'Test Cases'!J13</f>
        <v>PASS</v>
      </c>
      <c r="I29" s="3"/>
      <c r="J29" s="3"/>
      <c r="K29" s="3"/>
      <c r="L29" s="3"/>
      <c r="M29" s="3"/>
      <c r="N29" s="3"/>
      <c r="O29" s="3"/>
      <c r="P29" s="3"/>
      <c r="Q29" s="3"/>
      <c r="R29" s="3"/>
      <c r="S29" s="3"/>
      <c r="T29" s="3"/>
      <c r="U29" s="3"/>
      <c r="V29" s="3"/>
      <c r="W29" s="3"/>
      <c r="X29" s="3"/>
      <c r="Y29" s="3"/>
      <c r="Z29" s="3"/>
    </row>
    <row r="30">
      <c r="A30" s="18" t="s">
        <v>163</v>
      </c>
      <c r="B30" s="18" t="s">
        <v>200</v>
      </c>
      <c r="C30" s="18" t="s">
        <v>201</v>
      </c>
      <c r="D30" s="18" t="s">
        <v>187</v>
      </c>
      <c r="E30" s="18" t="s">
        <v>168</v>
      </c>
      <c r="F30" s="18" t="s">
        <v>170</v>
      </c>
      <c r="G30" s="18" t="s">
        <v>171</v>
      </c>
      <c r="H30" s="18" t="str">
        <f>'Test Cases'!J14</f>
        <v>PASS</v>
      </c>
      <c r="I30" s="3"/>
      <c r="J30" s="3"/>
      <c r="K30" s="3"/>
      <c r="L30" s="3"/>
      <c r="M30" s="3"/>
      <c r="N30" s="3"/>
      <c r="O30" s="3"/>
      <c r="P30" s="3"/>
      <c r="Q30" s="3"/>
      <c r="R30" s="3"/>
      <c r="S30" s="3"/>
      <c r="T30" s="3"/>
      <c r="U30" s="3"/>
      <c r="V30" s="3"/>
      <c r="W30" s="3"/>
      <c r="X30" s="3"/>
      <c r="Y30" s="3"/>
      <c r="Z30" s="3"/>
    </row>
    <row r="31">
      <c r="A31" s="9"/>
      <c r="B31" s="9"/>
      <c r="C31" s="9"/>
      <c r="D31" s="9"/>
      <c r="E31" s="9"/>
      <c r="F31" s="3"/>
      <c r="G31" s="3"/>
      <c r="H31" s="3"/>
      <c r="I31" s="3"/>
      <c r="J31" s="3"/>
      <c r="K31" s="3"/>
      <c r="L31" s="3"/>
      <c r="M31" s="3"/>
      <c r="N31" s="3"/>
      <c r="O31" s="3"/>
      <c r="P31" s="3"/>
      <c r="Q31" s="3"/>
      <c r="R31" s="3"/>
      <c r="S31" s="3"/>
      <c r="T31" s="3"/>
      <c r="U31" s="3"/>
      <c r="V31" s="3"/>
      <c r="W31" s="3"/>
      <c r="X31" s="3"/>
      <c r="Y31" s="3"/>
      <c r="Z31" s="3"/>
    </row>
    <row r="32">
      <c r="A32" s="9"/>
      <c r="B32" s="3"/>
      <c r="C32" s="3"/>
      <c r="D32" s="3"/>
      <c r="E32" s="3"/>
      <c r="F32" s="3"/>
      <c r="G32" s="3"/>
      <c r="H32" s="3"/>
      <c r="I32" s="3"/>
      <c r="J32" s="3"/>
      <c r="K32" s="3"/>
      <c r="L32" s="3"/>
      <c r="M32" s="3"/>
      <c r="N32" s="3"/>
      <c r="O32" s="3"/>
      <c r="P32" s="3"/>
      <c r="Q32" s="3"/>
      <c r="R32" s="3"/>
      <c r="S32" s="3"/>
      <c r="T32" s="3"/>
      <c r="U32" s="3"/>
      <c r="V32" s="3"/>
      <c r="W32" s="3"/>
      <c r="X32" s="3"/>
      <c r="Y32" s="3"/>
      <c r="Z32" s="3"/>
    </row>
    <row r="33">
      <c r="A33" s="9"/>
      <c r="B33" s="9"/>
      <c r="C33" s="9"/>
      <c r="D33" s="3"/>
      <c r="E33" s="3"/>
      <c r="F33" s="3"/>
      <c r="G33" s="3"/>
      <c r="H33" s="3"/>
      <c r="I33" s="3"/>
      <c r="J33" s="3"/>
      <c r="K33" s="3"/>
      <c r="L33" s="3"/>
      <c r="M33" s="3"/>
      <c r="N33" s="3"/>
      <c r="O33" s="3"/>
      <c r="P33" s="3"/>
      <c r="Q33" s="3"/>
      <c r="R33" s="3"/>
      <c r="S33" s="3"/>
      <c r="T33" s="3"/>
      <c r="U33" s="3"/>
      <c r="V33" s="3"/>
      <c r="W33" s="3"/>
      <c r="X33" s="3"/>
      <c r="Y33" s="3"/>
      <c r="Z33" s="3"/>
    </row>
    <row r="34">
      <c r="A34" s="9"/>
      <c r="B34" s="9"/>
      <c r="C34" s="3"/>
      <c r="D34" s="3"/>
      <c r="E34" s="3"/>
      <c r="F34" s="3"/>
      <c r="G34" s="3"/>
      <c r="H34" s="3"/>
      <c r="I34" s="3"/>
      <c r="J34" s="3"/>
      <c r="K34" s="3"/>
      <c r="L34" s="3"/>
      <c r="M34" s="3"/>
      <c r="N34" s="3"/>
      <c r="O34" s="3"/>
      <c r="P34" s="3"/>
      <c r="Q34" s="3"/>
      <c r="R34" s="3"/>
      <c r="S34" s="3"/>
      <c r="T34" s="3"/>
      <c r="U34" s="3"/>
      <c r="V34" s="3"/>
      <c r="W34" s="3"/>
      <c r="X34" s="3"/>
      <c r="Y34" s="3"/>
      <c r="Z34" s="3"/>
    </row>
    <row r="35">
      <c r="A35" s="9"/>
      <c r="B35" s="9"/>
      <c r="C35" s="9"/>
      <c r="D35" s="9"/>
      <c r="E35" s="9"/>
      <c r="F35" s="3"/>
      <c r="G35" s="3"/>
      <c r="H35" s="3"/>
      <c r="I35" s="3"/>
      <c r="J35" s="3"/>
      <c r="K35" s="3"/>
      <c r="L35" s="3"/>
      <c r="M35" s="3"/>
      <c r="N35" s="3"/>
      <c r="O35" s="3"/>
      <c r="P35" s="3"/>
      <c r="Q35" s="3"/>
      <c r="R35" s="3"/>
      <c r="S35" s="3"/>
      <c r="T35" s="3"/>
      <c r="U35" s="3"/>
      <c r="V35" s="3"/>
      <c r="W35" s="3"/>
      <c r="X35" s="3"/>
      <c r="Y35" s="3"/>
      <c r="Z35" s="3"/>
    </row>
    <row r="36">
      <c r="A36" s="9"/>
      <c r="B36" s="3"/>
      <c r="C36" s="3"/>
      <c r="D36" s="3"/>
      <c r="E36" s="3"/>
      <c r="F36" s="3"/>
      <c r="G36" s="3"/>
      <c r="H36" s="3"/>
      <c r="I36" s="3"/>
      <c r="J36" s="3"/>
      <c r="K36" s="3"/>
      <c r="L36" s="3"/>
      <c r="M36" s="3"/>
      <c r="N36" s="3"/>
      <c r="O36" s="3"/>
      <c r="P36" s="3"/>
      <c r="Q36" s="3"/>
      <c r="R36" s="3"/>
      <c r="S36" s="3"/>
      <c r="T36" s="3"/>
      <c r="U36" s="3"/>
      <c r="V36" s="3"/>
      <c r="W36" s="3"/>
      <c r="X36" s="3"/>
      <c r="Y36" s="3"/>
      <c r="Z36" s="3"/>
    </row>
    <row r="37">
      <c r="A37" s="9"/>
      <c r="B37" s="3"/>
      <c r="C37" s="3"/>
      <c r="D37" s="3"/>
      <c r="E37" s="3"/>
      <c r="F37" s="3"/>
      <c r="G37" s="3"/>
      <c r="H37" s="3"/>
      <c r="I37" s="3"/>
      <c r="J37" s="3"/>
      <c r="K37" s="3"/>
      <c r="L37" s="3"/>
      <c r="M37" s="3"/>
      <c r="N37" s="3"/>
      <c r="O37" s="3"/>
      <c r="P37" s="3"/>
      <c r="Q37" s="3"/>
      <c r="R37" s="3"/>
      <c r="S37" s="3"/>
      <c r="T37" s="3"/>
      <c r="U37" s="3"/>
      <c r="V37" s="3"/>
      <c r="W37" s="3"/>
      <c r="X37" s="3"/>
      <c r="Y37" s="3"/>
      <c r="Z37" s="3"/>
    </row>
    <row r="38">
      <c r="A38" s="9"/>
      <c r="B38" s="9"/>
      <c r="C38" s="9"/>
      <c r="D38" s="3"/>
      <c r="E38" s="3"/>
      <c r="F38" s="3"/>
      <c r="G38" s="3"/>
      <c r="H38" s="3"/>
      <c r="I38" s="3"/>
      <c r="J38" s="3"/>
      <c r="K38" s="3"/>
      <c r="L38" s="3"/>
      <c r="M38" s="3"/>
      <c r="N38" s="3"/>
      <c r="O38" s="3"/>
      <c r="P38" s="3"/>
      <c r="Q38" s="3"/>
      <c r="R38" s="3"/>
      <c r="S38" s="3"/>
      <c r="T38" s="3"/>
      <c r="U38" s="3"/>
      <c r="V38" s="3"/>
      <c r="W38" s="3"/>
      <c r="X38" s="3"/>
      <c r="Y38" s="3"/>
      <c r="Z38" s="3"/>
    </row>
    <row r="39">
      <c r="A39" s="9"/>
      <c r="B39" s="9"/>
      <c r="C39" s="3"/>
      <c r="D39" s="3"/>
      <c r="E39" s="3"/>
      <c r="F39" s="3"/>
      <c r="G39" s="3"/>
      <c r="H39" s="3"/>
      <c r="I39" s="3"/>
      <c r="J39" s="3"/>
      <c r="K39" s="3"/>
      <c r="L39" s="3"/>
      <c r="M39" s="3"/>
      <c r="N39" s="3"/>
      <c r="O39" s="3"/>
      <c r="P39" s="3"/>
      <c r="Q39" s="3"/>
      <c r="R39" s="3"/>
      <c r="S39" s="3"/>
      <c r="T39" s="3"/>
      <c r="U39" s="3"/>
      <c r="V39" s="3"/>
      <c r="W39" s="3"/>
      <c r="X39" s="3"/>
      <c r="Y39" s="3"/>
      <c r="Z39" s="3"/>
    </row>
    <row r="40">
      <c r="A40" s="9"/>
      <c r="B40" s="9"/>
      <c r="C40" s="9"/>
      <c r="D40" s="9"/>
      <c r="E40" s="9"/>
      <c r="F40" s="3"/>
      <c r="G40" s="3"/>
      <c r="H40" s="3"/>
      <c r="I40" s="3"/>
      <c r="J40" s="3"/>
      <c r="K40" s="3"/>
      <c r="L40" s="3"/>
      <c r="M40" s="3"/>
      <c r="N40" s="3"/>
      <c r="O40" s="3"/>
      <c r="P40" s="3"/>
      <c r="Q40" s="3"/>
      <c r="R40" s="3"/>
      <c r="S40" s="3"/>
      <c r="T40" s="3"/>
      <c r="U40" s="3"/>
      <c r="V40" s="3"/>
      <c r="W40" s="3"/>
      <c r="X40" s="3"/>
      <c r="Y40" s="3"/>
      <c r="Z40" s="3"/>
    </row>
    <row r="41">
      <c r="A41" s="9"/>
      <c r="B41" s="3"/>
      <c r="C41" s="3"/>
      <c r="D41" s="3"/>
      <c r="E41" s="3"/>
      <c r="F41" s="3"/>
      <c r="G41" s="3"/>
      <c r="H41" s="3"/>
      <c r="I41" s="3"/>
      <c r="J41" s="3"/>
      <c r="K41" s="3"/>
      <c r="L41" s="3"/>
      <c r="M41" s="3"/>
      <c r="N41" s="3"/>
      <c r="O41" s="3"/>
      <c r="P41" s="3"/>
      <c r="Q41" s="3"/>
      <c r="R41" s="3"/>
      <c r="S41" s="3"/>
      <c r="T41" s="3"/>
      <c r="U41" s="3"/>
      <c r="V41" s="3"/>
      <c r="W41" s="3"/>
      <c r="X41" s="3"/>
      <c r="Y41" s="3"/>
      <c r="Z41" s="3"/>
    </row>
    <row r="42">
      <c r="A42" s="9"/>
      <c r="B42" s="3"/>
      <c r="C42" s="3"/>
      <c r="D42" s="3"/>
      <c r="E42" s="3"/>
      <c r="F42" s="3"/>
      <c r="G42" s="3"/>
      <c r="H42" s="3"/>
      <c r="I42" s="3"/>
      <c r="J42" s="3"/>
      <c r="K42" s="3"/>
      <c r="L42" s="3"/>
      <c r="M42" s="3"/>
      <c r="N42" s="3"/>
      <c r="O42" s="3"/>
      <c r="P42" s="3"/>
      <c r="Q42" s="3"/>
      <c r="R42" s="3"/>
      <c r="S42" s="3"/>
      <c r="T42" s="3"/>
      <c r="U42" s="3"/>
      <c r="V42" s="3"/>
      <c r="W42" s="3"/>
      <c r="X42" s="3"/>
      <c r="Y42" s="3"/>
      <c r="Z42" s="3"/>
    </row>
    <row r="43">
      <c r="A43" s="9"/>
      <c r="B43" s="9"/>
      <c r="C43" s="9"/>
      <c r="D43" s="3"/>
      <c r="E43" s="3"/>
      <c r="F43" s="3"/>
      <c r="G43" s="3"/>
      <c r="H43" s="3"/>
      <c r="I43" s="3"/>
      <c r="J43" s="3"/>
      <c r="K43" s="3"/>
      <c r="L43" s="3"/>
      <c r="M43" s="3"/>
      <c r="N43" s="3"/>
      <c r="O43" s="3"/>
      <c r="P43" s="3"/>
      <c r="Q43" s="3"/>
      <c r="R43" s="3"/>
      <c r="S43" s="3"/>
      <c r="T43" s="3"/>
      <c r="U43" s="3"/>
      <c r="V43" s="3"/>
      <c r="W43" s="3"/>
      <c r="X43" s="3"/>
      <c r="Y43" s="3"/>
      <c r="Z43" s="3"/>
    </row>
    <row r="44">
      <c r="A44" s="9"/>
      <c r="B44" s="9"/>
      <c r="C44" s="3"/>
      <c r="D44" s="3"/>
      <c r="E44" s="3"/>
      <c r="F44" s="3"/>
      <c r="G44" s="3"/>
      <c r="H44" s="3"/>
      <c r="I44" s="3"/>
      <c r="J44" s="3"/>
      <c r="K44" s="3"/>
      <c r="L44" s="3"/>
      <c r="M44" s="3"/>
      <c r="N44" s="3"/>
      <c r="O44" s="3"/>
      <c r="P44" s="3"/>
      <c r="Q44" s="3"/>
      <c r="R44" s="3"/>
      <c r="S44" s="3"/>
      <c r="T44" s="3"/>
      <c r="U44" s="3"/>
      <c r="V44" s="3"/>
      <c r="W44" s="3"/>
      <c r="X44" s="3"/>
      <c r="Y44" s="3"/>
      <c r="Z44" s="3"/>
    </row>
    <row r="45">
      <c r="A45" s="9"/>
      <c r="B45" s="9"/>
      <c r="C45" s="9"/>
      <c r="D45" s="9"/>
      <c r="E45" s="9"/>
      <c r="F45" s="3"/>
      <c r="G45" s="3"/>
      <c r="H45" s="3"/>
      <c r="I45" s="3"/>
      <c r="J45" s="3"/>
      <c r="K45" s="3"/>
      <c r="L45" s="3"/>
      <c r="M45" s="3"/>
      <c r="N45" s="3"/>
      <c r="O45" s="3"/>
      <c r="P45" s="3"/>
      <c r="Q45" s="3"/>
      <c r="R45" s="3"/>
      <c r="S45" s="3"/>
      <c r="T45" s="3"/>
      <c r="U45" s="3"/>
      <c r="V45" s="3"/>
      <c r="W45" s="3"/>
      <c r="X45" s="3"/>
      <c r="Y45" s="3"/>
      <c r="Z45" s="3"/>
    </row>
    <row r="46">
      <c r="A46" s="9"/>
      <c r="B46" s="3"/>
      <c r="C46" s="3"/>
      <c r="D46" s="3"/>
      <c r="E46" s="3"/>
      <c r="F46" s="3"/>
      <c r="G46" s="3"/>
      <c r="H46" s="3"/>
      <c r="I46" s="3"/>
      <c r="J46" s="3"/>
      <c r="K46" s="3"/>
      <c r="L46" s="3"/>
      <c r="M46" s="3"/>
      <c r="N46" s="3"/>
      <c r="O46" s="3"/>
      <c r="P46" s="3"/>
      <c r="Q46" s="3"/>
      <c r="R46" s="3"/>
      <c r="S46" s="3"/>
      <c r="T46" s="3"/>
      <c r="U46" s="3"/>
      <c r="V46" s="3"/>
      <c r="W46" s="3"/>
      <c r="X46" s="3"/>
      <c r="Y46" s="3"/>
      <c r="Z46" s="3"/>
    </row>
    <row r="47">
      <c r="A47" s="9"/>
      <c r="B47" s="3"/>
      <c r="C47" s="3"/>
      <c r="D47" s="3"/>
      <c r="E47" s="3"/>
      <c r="F47" s="3"/>
      <c r="G47" s="3"/>
      <c r="H47" s="3"/>
      <c r="I47" s="3"/>
      <c r="J47" s="3"/>
      <c r="K47" s="3"/>
      <c r="L47" s="3"/>
      <c r="M47" s="3"/>
      <c r="N47" s="3"/>
      <c r="O47" s="3"/>
      <c r="P47" s="3"/>
      <c r="Q47" s="3"/>
      <c r="R47" s="3"/>
      <c r="S47" s="3"/>
      <c r="T47" s="3"/>
      <c r="U47" s="3"/>
      <c r="V47" s="3"/>
      <c r="W47" s="3"/>
      <c r="X47" s="3"/>
      <c r="Y47" s="3"/>
      <c r="Z47" s="3"/>
    </row>
    <row r="48">
      <c r="A48" s="9"/>
      <c r="B48" s="3"/>
      <c r="C48" s="3"/>
      <c r="D48" s="3"/>
      <c r="E48" s="3"/>
      <c r="F48" s="3"/>
      <c r="G48" s="3"/>
      <c r="H48" s="3"/>
      <c r="I48" s="3"/>
      <c r="J48" s="3"/>
      <c r="K48" s="3"/>
      <c r="L48" s="3"/>
      <c r="M48" s="3"/>
      <c r="N48" s="3"/>
      <c r="O48" s="3"/>
      <c r="P48" s="3"/>
      <c r="Q48" s="3"/>
      <c r="R48" s="3"/>
      <c r="S48" s="3"/>
      <c r="T48" s="3"/>
      <c r="U48" s="3"/>
      <c r="V48" s="3"/>
      <c r="W48" s="3"/>
      <c r="X48" s="3"/>
      <c r="Y48" s="3"/>
      <c r="Z48" s="3"/>
    </row>
    <row r="49">
      <c r="A49" s="9"/>
      <c r="B49" s="9"/>
      <c r="C49" s="3"/>
      <c r="D49" s="3"/>
      <c r="E49" s="3"/>
      <c r="F49" s="3"/>
      <c r="G49" s="3"/>
      <c r="H49" s="3"/>
      <c r="I49" s="3"/>
      <c r="J49" s="3"/>
      <c r="K49" s="3"/>
      <c r="L49" s="3"/>
      <c r="M49" s="3"/>
      <c r="N49" s="3"/>
      <c r="O49" s="3"/>
      <c r="P49" s="3"/>
      <c r="Q49" s="3"/>
      <c r="R49" s="3"/>
      <c r="S49" s="3"/>
      <c r="T49" s="3"/>
      <c r="U49" s="3"/>
      <c r="V49" s="3"/>
      <c r="W49" s="3"/>
      <c r="X49" s="3"/>
      <c r="Y49" s="3"/>
      <c r="Z49" s="3"/>
    </row>
    <row r="50">
      <c r="A50" s="9"/>
      <c r="B50" s="3"/>
      <c r="C50" s="3"/>
      <c r="D50" s="3"/>
      <c r="E50" s="3"/>
      <c r="F50" s="3"/>
      <c r="G50" s="3"/>
      <c r="H50" s="3"/>
      <c r="I50" s="3"/>
      <c r="J50" s="3"/>
      <c r="K50" s="3"/>
      <c r="L50" s="3"/>
      <c r="M50" s="3"/>
      <c r="N50" s="3"/>
      <c r="O50" s="3"/>
      <c r="P50" s="3"/>
      <c r="Q50" s="3"/>
      <c r="R50" s="3"/>
      <c r="S50" s="3"/>
      <c r="T50" s="3"/>
      <c r="U50" s="3"/>
      <c r="V50" s="3"/>
      <c r="W50" s="3"/>
      <c r="X50" s="3"/>
      <c r="Y50" s="3"/>
      <c r="Z50" s="3"/>
    </row>
    <row r="51">
      <c r="A51" s="9"/>
      <c r="B51" s="3"/>
      <c r="C51" s="3"/>
      <c r="D51" s="3"/>
      <c r="E51" s="3"/>
      <c r="F51" s="3"/>
      <c r="G51" s="3"/>
      <c r="H51" s="3"/>
      <c r="I51" s="3"/>
      <c r="J51" s="3"/>
      <c r="K51" s="3"/>
      <c r="L51" s="3"/>
      <c r="M51" s="3"/>
      <c r="N51" s="3"/>
      <c r="O51" s="3"/>
      <c r="P51" s="3"/>
      <c r="Q51" s="3"/>
      <c r="R51" s="3"/>
      <c r="S51" s="3"/>
      <c r="T51" s="3"/>
      <c r="U51" s="3"/>
      <c r="V51" s="3"/>
      <c r="W51" s="3"/>
      <c r="X51" s="3"/>
      <c r="Y51" s="3"/>
      <c r="Z51" s="3"/>
    </row>
    <row r="52">
      <c r="A52" s="9"/>
      <c r="B52" s="9"/>
      <c r="C52" s="3"/>
      <c r="D52" s="3"/>
      <c r="E52" s="3"/>
      <c r="F52" s="3"/>
      <c r="G52" s="3"/>
      <c r="H52" s="3"/>
      <c r="I52" s="3"/>
      <c r="J52" s="3"/>
      <c r="K52" s="3"/>
      <c r="L52" s="3"/>
      <c r="M52" s="3"/>
      <c r="N52" s="3"/>
      <c r="O52" s="3"/>
      <c r="P52" s="3"/>
      <c r="Q52" s="3"/>
      <c r="R52" s="3"/>
      <c r="S52" s="3"/>
      <c r="T52" s="3"/>
      <c r="U52" s="3"/>
      <c r="V52" s="3"/>
      <c r="W52" s="3"/>
      <c r="X52" s="3"/>
      <c r="Y52" s="3"/>
      <c r="Z52" s="3"/>
    </row>
    <row r="53">
      <c r="A53" s="9"/>
      <c r="B53" s="9"/>
      <c r="C53" s="3"/>
      <c r="D53" s="3"/>
      <c r="E53" s="3"/>
      <c r="F53" s="3"/>
      <c r="G53" s="3"/>
      <c r="H53" s="3"/>
      <c r="I53" s="3"/>
      <c r="J53" s="3"/>
      <c r="K53" s="3"/>
      <c r="L53" s="3"/>
      <c r="M53" s="3"/>
      <c r="N53" s="3"/>
      <c r="O53" s="3"/>
      <c r="P53" s="3"/>
      <c r="Q53" s="3"/>
      <c r="R53" s="3"/>
      <c r="S53" s="3"/>
      <c r="T53" s="3"/>
      <c r="U53" s="3"/>
      <c r="V53" s="3"/>
      <c r="W53" s="3"/>
      <c r="X53" s="3"/>
      <c r="Y53" s="3"/>
      <c r="Z53" s="3"/>
    </row>
    <row r="54">
      <c r="A54" s="9"/>
      <c r="B54" s="9"/>
      <c r="C54" s="9"/>
      <c r="D54" s="9"/>
      <c r="E54" s="9"/>
      <c r="F54" s="3"/>
      <c r="G54" s="3"/>
      <c r="H54" s="3"/>
      <c r="I54" s="3"/>
      <c r="J54" s="3"/>
      <c r="K54" s="3"/>
      <c r="L54" s="3"/>
      <c r="M54" s="3"/>
      <c r="N54" s="3"/>
      <c r="O54" s="3"/>
      <c r="P54" s="3"/>
      <c r="Q54" s="3"/>
      <c r="R54" s="3"/>
      <c r="S54" s="3"/>
      <c r="T54" s="3"/>
      <c r="U54" s="3"/>
      <c r="V54" s="3"/>
      <c r="W54" s="3"/>
      <c r="X54" s="3"/>
      <c r="Y54" s="3"/>
      <c r="Z54" s="3"/>
    </row>
    <row r="55">
      <c r="A55" s="9"/>
      <c r="B55" s="3"/>
      <c r="C55" s="3"/>
      <c r="D55" s="3"/>
      <c r="E55" s="3"/>
      <c r="F55" s="3"/>
      <c r="G55" s="3"/>
      <c r="H55" s="3"/>
      <c r="I55" s="3"/>
      <c r="J55" s="3"/>
      <c r="K55" s="3"/>
      <c r="L55" s="3"/>
      <c r="M55" s="3"/>
      <c r="N55" s="3"/>
      <c r="O55" s="3"/>
      <c r="P55" s="3"/>
      <c r="Q55" s="3"/>
      <c r="R55" s="3"/>
      <c r="S55" s="3"/>
      <c r="T55" s="3"/>
      <c r="U55" s="3"/>
      <c r="V55" s="3"/>
      <c r="W55" s="3"/>
      <c r="X55" s="3"/>
      <c r="Y55" s="3"/>
      <c r="Z55" s="3"/>
    </row>
    <row r="56">
      <c r="A56" s="9"/>
      <c r="B56" s="3"/>
      <c r="C56" s="3"/>
      <c r="D56" s="3"/>
      <c r="E56" s="3"/>
      <c r="F56" s="3"/>
      <c r="G56" s="3"/>
      <c r="H56" s="3"/>
      <c r="I56" s="3"/>
      <c r="J56" s="3"/>
      <c r="K56" s="3"/>
      <c r="L56" s="3"/>
      <c r="M56" s="3"/>
      <c r="N56" s="3"/>
      <c r="O56" s="3"/>
      <c r="P56" s="3"/>
      <c r="Q56" s="3"/>
      <c r="R56" s="3"/>
      <c r="S56" s="3"/>
      <c r="T56" s="3"/>
      <c r="U56" s="3"/>
      <c r="V56" s="3"/>
      <c r="W56" s="3"/>
      <c r="X56" s="3"/>
      <c r="Y56" s="3"/>
      <c r="Z56" s="3"/>
    </row>
    <row r="57">
      <c r="A57" s="9"/>
      <c r="B57" s="9"/>
      <c r="C57" s="9"/>
      <c r="D57" s="3"/>
      <c r="E57" s="3"/>
      <c r="F57" s="3"/>
      <c r="G57" s="3"/>
      <c r="H57" s="3"/>
      <c r="I57" s="3"/>
      <c r="J57" s="3"/>
      <c r="K57" s="3"/>
      <c r="L57" s="3"/>
      <c r="M57" s="3"/>
      <c r="N57" s="3"/>
      <c r="O57" s="3"/>
      <c r="P57" s="3"/>
      <c r="Q57" s="3"/>
      <c r="R57" s="3"/>
      <c r="S57" s="3"/>
      <c r="T57" s="3"/>
      <c r="U57" s="3"/>
      <c r="V57" s="3"/>
      <c r="W57" s="3"/>
      <c r="X57" s="3"/>
      <c r="Y57" s="3"/>
      <c r="Z57" s="3"/>
    </row>
    <row r="58">
      <c r="A58" s="9"/>
      <c r="B58" s="9"/>
      <c r="C58" s="3"/>
      <c r="D58" s="3"/>
      <c r="E58" s="3"/>
      <c r="F58" s="3"/>
      <c r="G58" s="3"/>
      <c r="H58" s="3"/>
      <c r="I58" s="3"/>
      <c r="J58" s="3"/>
      <c r="K58" s="3"/>
      <c r="L58" s="3"/>
      <c r="M58" s="3"/>
      <c r="N58" s="3"/>
      <c r="O58" s="3"/>
      <c r="P58" s="3"/>
      <c r="Q58" s="3"/>
      <c r="R58" s="3"/>
      <c r="S58" s="3"/>
      <c r="T58" s="3"/>
      <c r="U58" s="3"/>
      <c r="V58" s="3"/>
      <c r="W58" s="3"/>
      <c r="X58" s="3"/>
      <c r="Y58" s="3"/>
      <c r="Z58" s="3"/>
    </row>
    <row r="59">
      <c r="A59" s="9"/>
      <c r="B59" s="9"/>
      <c r="C59" s="9"/>
      <c r="D59" s="9"/>
      <c r="E59" s="9"/>
      <c r="F59" s="3"/>
      <c r="G59" s="3"/>
      <c r="H59" s="3"/>
      <c r="I59" s="3"/>
      <c r="J59" s="3"/>
      <c r="K59" s="3"/>
      <c r="L59" s="3"/>
      <c r="M59" s="3"/>
      <c r="N59" s="3"/>
      <c r="O59" s="3"/>
      <c r="P59" s="3"/>
      <c r="Q59" s="3"/>
      <c r="R59" s="3"/>
      <c r="S59" s="3"/>
      <c r="T59" s="3"/>
      <c r="U59" s="3"/>
      <c r="V59" s="3"/>
      <c r="W59" s="3"/>
      <c r="X59" s="3"/>
      <c r="Y59" s="3"/>
      <c r="Z59" s="3"/>
    </row>
    <row r="60">
      <c r="A60" s="9"/>
      <c r="B60" s="3"/>
      <c r="C60" s="3"/>
      <c r="D60" s="3"/>
      <c r="E60" s="3"/>
      <c r="F60" s="3"/>
      <c r="G60" s="3"/>
      <c r="H60" s="3"/>
      <c r="I60" s="3"/>
      <c r="J60" s="3"/>
      <c r="K60" s="3"/>
      <c r="L60" s="3"/>
      <c r="M60" s="3"/>
      <c r="N60" s="3"/>
      <c r="O60" s="3"/>
      <c r="P60" s="3"/>
      <c r="Q60" s="3"/>
      <c r="R60" s="3"/>
      <c r="S60" s="3"/>
      <c r="T60" s="3"/>
      <c r="U60" s="3"/>
      <c r="V60" s="3"/>
      <c r="W60" s="3"/>
      <c r="X60" s="3"/>
      <c r="Y60" s="3"/>
      <c r="Z60" s="3"/>
    </row>
    <row r="61">
      <c r="A61" s="9"/>
      <c r="B61" s="3"/>
      <c r="C61" s="3"/>
      <c r="D61" s="3"/>
      <c r="E61" s="3"/>
      <c r="F61" s="3"/>
      <c r="G61" s="3"/>
      <c r="H61" s="3"/>
      <c r="I61" s="3"/>
      <c r="J61" s="3"/>
      <c r="K61" s="3"/>
      <c r="L61" s="3"/>
      <c r="M61" s="3"/>
      <c r="N61" s="3"/>
      <c r="O61" s="3"/>
      <c r="P61" s="3"/>
      <c r="Q61" s="3"/>
      <c r="R61" s="3"/>
      <c r="S61" s="3"/>
      <c r="T61" s="3"/>
      <c r="U61" s="3"/>
      <c r="V61" s="3"/>
      <c r="W61" s="3"/>
      <c r="X61" s="3"/>
      <c r="Y61" s="3"/>
      <c r="Z61" s="3"/>
    </row>
    <row r="62">
      <c r="A62" s="9"/>
      <c r="B62" s="9"/>
      <c r="C62" s="9"/>
      <c r="D62" s="3"/>
      <c r="E62" s="3"/>
      <c r="F62" s="3"/>
      <c r="G62" s="3"/>
      <c r="H62" s="3"/>
      <c r="I62" s="3"/>
      <c r="J62" s="3"/>
      <c r="K62" s="3"/>
      <c r="L62" s="3"/>
      <c r="M62" s="3"/>
      <c r="N62" s="3"/>
      <c r="O62" s="3"/>
      <c r="P62" s="3"/>
      <c r="Q62" s="3"/>
      <c r="R62" s="3"/>
      <c r="S62" s="3"/>
      <c r="T62" s="3"/>
      <c r="U62" s="3"/>
      <c r="V62" s="3"/>
      <c r="W62" s="3"/>
      <c r="X62" s="3"/>
      <c r="Y62" s="3"/>
      <c r="Z62" s="3"/>
    </row>
    <row r="63">
      <c r="A63" s="9"/>
      <c r="B63" s="9"/>
      <c r="C63" s="3"/>
      <c r="D63" s="3"/>
      <c r="E63" s="3"/>
      <c r="F63" s="3"/>
      <c r="G63" s="3"/>
      <c r="H63" s="3"/>
      <c r="I63" s="3"/>
      <c r="J63" s="3"/>
      <c r="K63" s="3"/>
      <c r="L63" s="3"/>
      <c r="M63" s="3"/>
      <c r="N63" s="3"/>
      <c r="O63" s="3"/>
      <c r="P63" s="3"/>
      <c r="Q63" s="3"/>
      <c r="R63" s="3"/>
      <c r="S63" s="3"/>
      <c r="T63" s="3"/>
      <c r="U63" s="3"/>
      <c r="V63" s="3"/>
      <c r="W63" s="3"/>
      <c r="X63" s="3"/>
      <c r="Y63" s="3"/>
      <c r="Z63" s="3"/>
    </row>
    <row r="64">
      <c r="A64" s="9"/>
      <c r="B64" s="9"/>
      <c r="C64" s="9"/>
      <c r="D64" s="9"/>
      <c r="E64" s="9"/>
      <c r="F64" s="3"/>
      <c r="G64" s="3"/>
      <c r="H64" s="3"/>
      <c r="I64" s="3"/>
      <c r="J64" s="3"/>
      <c r="K64" s="3"/>
      <c r="L64" s="3"/>
      <c r="M64" s="3"/>
      <c r="N64" s="3"/>
      <c r="O64" s="3"/>
      <c r="P64" s="3"/>
      <c r="Q64" s="3"/>
      <c r="R64" s="3"/>
      <c r="S64" s="3"/>
      <c r="T64" s="3"/>
      <c r="U64" s="3"/>
      <c r="V64" s="3"/>
      <c r="W64" s="3"/>
      <c r="X64" s="3"/>
      <c r="Y64" s="3"/>
      <c r="Z64" s="3"/>
    </row>
    <row r="65">
      <c r="A65" s="9"/>
      <c r="B65" s="3"/>
      <c r="C65" s="3"/>
      <c r="D65" s="3"/>
      <c r="E65" s="3"/>
      <c r="F65" s="3"/>
      <c r="G65" s="3"/>
      <c r="H65" s="3"/>
      <c r="I65" s="3"/>
      <c r="J65" s="3"/>
      <c r="K65" s="3"/>
      <c r="L65" s="3"/>
      <c r="M65" s="3"/>
      <c r="N65" s="3"/>
      <c r="O65" s="3"/>
      <c r="P65" s="3"/>
      <c r="Q65" s="3"/>
      <c r="R65" s="3"/>
      <c r="S65" s="3"/>
      <c r="T65" s="3"/>
      <c r="U65" s="3"/>
      <c r="V65" s="3"/>
      <c r="W65" s="3"/>
      <c r="X65" s="3"/>
      <c r="Y65" s="3"/>
      <c r="Z65" s="3"/>
    </row>
    <row r="66">
      <c r="A66" s="9"/>
      <c r="B66" s="3"/>
      <c r="C66" s="3"/>
      <c r="D66" s="3"/>
      <c r="E66" s="3"/>
      <c r="F66" s="3"/>
      <c r="G66" s="3"/>
      <c r="H66" s="3"/>
      <c r="I66" s="3"/>
      <c r="J66" s="3"/>
      <c r="K66" s="3"/>
      <c r="L66" s="3"/>
      <c r="M66" s="3"/>
      <c r="N66" s="3"/>
      <c r="O66" s="3"/>
      <c r="P66" s="3"/>
      <c r="Q66" s="3"/>
      <c r="R66" s="3"/>
      <c r="S66" s="3"/>
      <c r="T66" s="3"/>
      <c r="U66" s="3"/>
      <c r="V66" s="3"/>
      <c r="W66" s="3"/>
      <c r="X66" s="3"/>
      <c r="Y66" s="3"/>
      <c r="Z66" s="3"/>
    </row>
    <row r="67">
      <c r="A67" s="9"/>
      <c r="B67" s="9"/>
      <c r="C67" s="9"/>
      <c r="D67" s="3"/>
      <c r="E67" s="3"/>
      <c r="F67" s="3"/>
      <c r="G67" s="3"/>
      <c r="H67" s="3"/>
      <c r="I67" s="3"/>
      <c r="J67" s="3"/>
      <c r="K67" s="3"/>
      <c r="L67" s="3"/>
      <c r="M67" s="3"/>
      <c r="N67" s="3"/>
      <c r="O67" s="3"/>
      <c r="P67" s="3"/>
      <c r="Q67" s="3"/>
      <c r="R67" s="3"/>
      <c r="S67" s="3"/>
      <c r="T67" s="3"/>
      <c r="U67" s="3"/>
      <c r="V67" s="3"/>
      <c r="W67" s="3"/>
      <c r="X67" s="3"/>
      <c r="Y67" s="3"/>
      <c r="Z67" s="3"/>
    </row>
    <row r="68">
      <c r="A68" s="9"/>
      <c r="B68" s="9"/>
      <c r="C68" s="3"/>
      <c r="D68" s="3"/>
      <c r="E68" s="3"/>
      <c r="F68" s="3"/>
      <c r="G68" s="3"/>
      <c r="H68" s="3"/>
      <c r="I68" s="3"/>
      <c r="J68" s="3"/>
      <c r="K68" s="3"/>
      <c r="L68" s="3"/>
      <c r="M68" s="3"/>
      <c r="N68" s="3"/>
      <c r="O68" s="3"/>
      <c r="P68" s="3"/>
      <c r="Q68" s="3"/>
      <c r="R68" s="3"/>
      <c r="S68" s="3"/>
      <c r="T68" s="3"/>
      <c r="U68" s="3"/>
      <c r="V68" s="3"/>
      <c r="W68" s="3"/>
      <c r="X68" s="3"/>
      <c r="Y68" s="3"/>
      <c r="Z68" s="3"/>
    </row>
    <row r="69">
      <c r="A69" s="9"/>
      <c r="B69" s="9"/>
      <c r="C69" s="9"/>
      <c r="D69" s="9"/>
      <c r="E69" s="9"/>
      <c r="F69" s="3"/>
      <c r="G69" s="3"/>
      <c r="H69" s="3"/>
      <c r="I69" s="3"/>
      <c r="J69" s="3"/>
      <c r="K69" s="3"/>
      <c r="L69" s="3"/>
      <c r="M69" s="3"/>
      <c r="N69" s="3"/>
      <c r="O69" s="3"/>
      <c r="P69" s="3"/>
      <c r="Q69" s="3"/>
      <c r="R69" s="3"/>
      <c r="S69" s="3"/>
      <c r="T69" s="3"/>
      <c r="U69" s="3"/>
      <c r="V69" s="3"/>
      <c r="W69" s="3"/>
      <c r="X69" s="3"/>
      <c r="Y69" s="3"/>
      <c r="Z69" s="3"/>
    </row>
    <row r="70">
      <c r="A70" s="9"/>
      <c r="B70" s="3"/>
      <c r="C70" s="3"/>
      <c r="D70" s="3"/>
      <c r="E70" s="3"/>
      <c r="F70" s="3"/>
      <c r="G70" s="3"/>
      <c r="H70" s="3"/>
      <c r="I70" s="3"/>
      <c r="J70" s="3"/>
      <c r="K70" s="3"/>
      <c r="L70" s="3"/>
      <c r="M70" s="3"/>
      <c r="N70" s="3"/>
      <c r="O70" s="3"/>
      <c r="P70" s="3"/>
      <c r="Q70" s="3"/>
      <c r="R70" s="3"/>
      <c r="S70" s="3"/>
      <c r="T70" s="3"/>
      <c r="U70" s="3"/>
      <c r="V70" s="3"/>
      <c r="W70" s="3"/>
      <c r="X70" s="3"/>
      <c r="Y70" s="3"/>
      <c r="Z70" s="3"/>
    </row>
    <row r="71">
      <c r="A71" s="9"/>
      <c r="B71" s="3"/>
      <c r="C71" s="3"/>
      <c r="D71" s="3"/>
      <c r="E71" s="3"/>
      <c r="F71" s="3"/>
      <c r="G71" s="3"/>
      <c r="H71" s="3"/>
      <c r="I71" s="3"/>
      <c r="J71" s="3"/>
      <c r="K71" s="3"/>
      <c r="L71" s="3"/>
      <c r="M71" s="3"/>
      <c r="N71" s="3"/>
      <c r="O71" s="3"/>
      <c r="P71" s="3"/>
      <c r="Q71" s="3"/>
      <c r="R71" s="3"/>
      <c r="S71" s="3"/>
      <c r="T71" s="3"/>
      <c r="U71" s="3"/>
      <c r="V71" s="3"/>
      <c r="W71" s="3"/>
      <c r="X71" s="3"/>
      <c r="Y71" s="3"/>
      <c r="Z71" s="3"/>
    </row>
    <row r="72">
      <c r="A72" s="9"/>
      <c r="B72" s="9"/>
      <c r="C72" s="9"/>
      <c r="D72" s="3"/>
      <c r="E72" s="3"/>
      <c r="F72" s="3"/>
      <c r="G72" s="3"/>
      <c r="H72" s="3"/>
      <c r="I72" s="3"/>
      <c r="J72" s="3"/>
      <c r="K72" s="3"/>
      <c r="L72" s="3"/>
      <c r="M72" s="3"/>
      <c r="N72" s="3"/>
      <c r="O72" s="3"/>
      <c r="P72" s="3"/>
      <c r="Q72" s="3"/>
      <c r="R72" s="3"/>
      <c r="S72" s="3"/>
      <c r="T72" s="3"/>
      <c r="U72" s="3"/>
      <c r="V72" s="3"/>
      <c r="W72" s="3"/>
      <c r="X72" s="3"/>
      <c r="Y72" s="3"/>
      <c r="Z72" s="3"/>
    </row>
    <row r="73">
      <c r="A73" s="9"/>
      <c r="B73" s="9"/>
      <c r="C73" s="3"/>
      <c r="D73" s="3"/>
      <c r="E73" s="3"/>
      <c r="F73" s="3"/>
      <c r="G73" s="3"/>
      <c r="H73" s="3"/>
      <c r="I73" s="3"/>
      <c r="J73" s="3"/>
      <c r="K73" s="3"/>
      <c r="L73" s="3"/>
      <c r="M73" s="3"/>
      <c r="N73" s="3"/>
      <c r="O73" s="3"/>
      <c r="P73" s="3"/>
      <c r="Q73" s="3"/>
      <c r="R73" s="3"/>
      <c r="S73" s="3"/>
      <c r="T73" s="3"/>
      <c r="U73" s="3"/>
      <c r="V73" s="3"/>
      <c r="W73" s="3"/>
      <c r="X73" s="3"/>
      <c r="Y73" s="3"/>
      <c r="Z73" s="3"/>
    </row>
    <row r="74">
      <c r="A74" s="9"/>
      <c r="B74" s="9"/>
      <c r="C74" s="9"/>
      <c r="D74" s="9"/>
      <c r="E74" s="9"/>
      <c r="F74" s="3"/>
      <c r="G74" s="3"/>
      <c r="H74" s="3"/>
      <c r="I74" s="3"/>
      <c r="J74" s="3"/>
      <c r="K74" s="3"/>
      <c r="L74" s="3"/>
      <c r="M74" s="3"/>
      <c r="N74" s="3"/>
      <c r="O74" s="3"/>
      <c r="P74" s="3"/>
      <c r="Q74" s="3"/>
      <c r="R74" s="3"/>
      <c r="S74" s="3"/>
      <c r="T74" s="3"/>
      <c r="U74" s="3"/>
      <c r="V74" s="3"/>
      <c r="W74" s="3"/>
      <c r="X74" s="3"/>
      <c r="Y74" s="3"/>
      <c r="Z74" s="3"/>
    </row>
    <row r="75">
      <c r="A75" s="9"/>
      <c r="B75" s="3"/>
      <c r="C75" s="3"/>
      <c r="D75" s="3"/>
      <c r="E75" s="3"/>
      <c r="F75" s="3"/>
      <c r="G75" s="3"/>
      <c r="H75" s="3"/>
      <c r="I75" s="3"/>
      <c r="J75" s="3"/>
      <c r="K75" s="3"/>
      <c r="L75" s="3"/>
      <c r="M75" s="3"/>
      <c r="N75" s="3"/>
      <c r="O75" s="3"/>
      <c r="P75" s="3"/>
      <c r="Q75" s="3"/>
      <c r="R75" s="3"/>
      <c r="S75" s="3"/>
      <c r="T75" s="3"/>
      <c r="U75" s="3"/>
      <c r="V75" s="3"/>
      <c r="W75" s="3"/>
      <c r="X75" s="3"/>
      <c r="Y75" s="3"/>
      <c r="Z75" s="3"/>
    </row>
    <row r="76">
      <c r="A76" s="9"/>
      <c r="B76" s="3"/>
      <c r="C76" s="3"/>
      <c r="D76" s="3"/>
      <c r="E76" s="3"/>
      <c r="F76" s="3"/>
      <c r="G76" s="3"/>
      <c r="H76" s="3"/>
      <c r="I76" s="3"/>
      <c r="J76" s="3"/>
      <c r="K76" s="3"/>
      <c r="L76" s="3"/>
      <c r="M76" s="3"/>
      <c r="N76" s="3"/>
      <c r="O76" s="3"/>
      <c r="P76" s="3"/>
      <c r="Q76" s="3"/>
      <c r="R76" s="3"/>
      <c r="S76" s="3"/>
      <c r="T76" s="3"/>
      <c r="U76" s="3"/>
      <c r="V76" s="3"/>
      <c r="W76" s="3"/>
      <c r="X76" s="3"/>
      <c r="Y76" s="3"/>
      <c r="Z76" s="3"/>
    </row>
    <row r="77">
      <c r="A77" s="9"/>
      <c r="B77" s="9"/>
      <c r="C77" s="9"/>
      <c r="D77" s="3"/>
      <c r="E77" s="3"/>
      <c r="F77" s="3"/>
      <c r="G77" s="3"/>
      <c r="H77" s="3"/>
      <c r="I77" s="3"/>
      <c r="J77" s="3"/>
      <c r="K77" s="3"/>
      <c r="L77" s="3"/>
      <c r="M77" s="3"/>
      <c r="N77" s="3"/>
      <c r="O77" s="3"/>
      <c r="P77" s="3"/>
      <c r="Q77" s="3"/>
      <c r="R77" s="3"/>
      <c r="S77" s="3"/>
      <c r="T77" s="3"/>
      <c r="U77" s="3"/>
      <c r="V77" s="3"/>
      <c r="W77" s="3"/>
      <c r="X77" s="3"/>
      <c r="Y77" s="3"/>
      <c r="Z77" s="3"/>
    </row>
    <row r="78">
      <c r="A78" s="9"/>
      <c r="B78" s="9"/>
      <c r="C78" s="3"/>
      <c r="D78" s="3"/>
      <c r="E78" s="3"/>
      <c r="F78" s="3"/>
      <c r="G78" s="3"/>
      <c r="H78" s="3"/>
      <c r="I78" s="3"/>
      <c r="J78" s="3"/>
      <c r="K78" s="3"/>
      <c r="L78" s="3"/>
      <c r="M78" s="3"/>
      <c r="N78" s="3"/>
      <c r="O78" s="3"/>
      <c r="P78" s="3"/>
      <c r="Q78" s="3"/>
      <c r="R78" s="3"/>
      <c r="S78" s="3"/>
      <c r="T78" s="3"/>
      <c r="U78" s="3"/>
      <c r="V78" s="3"/>
      <c r="W78" s="3"/>
      <c r="X78" s="3"/>
      <c r="Y78" s="3"/>
      <c r="Z78" s="3"/>
    </row>
    <row r="79">
      <c r="A79" s="9"/>
      <c r="B79" s="9"/>
      <c r="C79" s="9"/>
      <c r="D79" s="9"/>
      <c r="E79" s="9"/>
      <c r="F79" s="3"/>
      <c r="G79" s="3"/>
      <c r="H79" s="3"/>
      <c r="I79" s="3"/>
      <c r="J79" s="3"/>
      <c r="K79" s="3"/>
      <c r="L79" s="3"/>
      <c r="M79" s="3"/>
      <c r="N79" s="3"/>
      <c r="O79" s="3"/>
      <c r="P79" s="3"/>
      <c r="Q79" s="3"/>
      <c r="R79" s="3"/>
      <c r="S79" s="3"/>
      <c r="T79" s="3"/>
      <c r="U79" s="3"/>
      <c r="V79" s="3"/>
      <c r="W79" s="3"/>
      <c r="X79" s="3"/>
      <c r="Y79" s="3"/>
      <c r="Z79" s="3"/>
    </row>
    <row r="80">
      <c r="A80" s="9"/>
      <c r="B80" s="3"/>
      <c r="C80" s="3"/>
      <c r="D80" s="3"/>
      <c r="E80" s="3"/>
      <c r="F80" s="3"/>
      <c r="G80" s="3"/>
      <c r="H80" s="3"/>
      <c r="I80" s="3"/>
      <c r="J80" s="3"/>
      <c r="K80" s="3"/>
      <c r="L80" s="3"/>
      <c r="M80" s="3"/>
      <c r="N80" s="3"/>
      <c r="O80" s="3"/>
      <c r="P80" s="3"/>
      <c r="Q80" s="3"/>
      <c r="R80" s="3"/>
      <c r="S80" s="3"/>
      <c r="T80" s="3"/>
      <c r="U80" s="3"/>
      <c r="V80" s="3"/>
      <c r="W80" s="3"/>
      <c r="X80" s="3"/>
      <c r="Y80" s="3"/>
      <c r="Z80" s="3"/>
    </row>
    <row r="81">
      <c r="A81" s="9"/>
      <c r="B81" s="3"/>
      <c r="C81" s="3"/>
      <c r="D81" s="3"/>
      <c r="E81" s="3"/>
      <c r="F81" s="3"/>
      <c r="G81" s="3"/>
      <c r="H81" s="3"/>
      <c r="I81" s="3"/>
      <c r="J81" s="3"/>
      <c r="K81" s="3"/>
      <c r="L81" s="3"/>
      <c r="M81" s="3"/>
      <c r="N81" s="3"/>
      <c r="O81" s="3"/>
      <c r="P81" s="3"/>
      <c r="Q81" s="3"/>
      <c r="R81" s="3"/>
      <c r="S81" s="3"/>
      <c r="T81" s="3"/>
      <c r="U81" s="3"/>
      <c r="V81" s="3"/>
      <c r="W81" s="3"/>
      <c r="X81" s="3"/>
      <c r="Y81" s="3"/>
      <c r="Z81" s="3"/>
    </row>
    <row r="82">
      <c r="A82" s="9"/>
      <c r="B82" s="9"/>
      <c r="C82" s="9"/>
      <c r="D82" s="3"/>
      <c r="E82" s="3"/>
      <c r="F82" s="3"/>
      <c r="G82" s="3"/>
      <c r="H82" s="3"/>
      <c r="I82" s="3"/>
      <c r="J82" s="3"/>
      <c r="K82" s="3"/>
      <c r="L82" s="3"/>
      <c r="M82" s="3"/>
      <c r="N82" s="3"/>
      <c r="O82" s="3"/>
      <c r="P82" s="3"/>
      <c r="Q82" s="3"/>
      <c r="R82" s="3"/>
      <c r="S82" s="3"/>
      <c r="T82" s="3"/>
      <c r="U82" s="3"/>
      <c r="V82" s="3"/>
      <c r="W82" s="3"/>
      <c r="X82" s="3"/>
      <c r="Y82" s="3"/>
      <c r="Z82" s="3"/>
    </row>
    <row r="83">
      <c r="A83" s="9"/>
      <c r="B83" s="9"/>
      <c r="C83" s="3"/>
      <c r="D83" s="3"/>
      <c r="E83" s="3"/>
      <c r="F83" s="3"/>
      <c r="G83" s="3"/>
      <c r="H83" s="3"/>
      <c r="I83" s="3"/>
      <c r="J83" s="3"/>
      <c r="K83" s="3"/>
      <c r="L83" s="3"/>
      <c r="M83" s="3"/>
      <c r="N83" s="3"/>
      <c r="O83" s="3"/>
      <c r="P83" s="3"/>
      <c r="Q83" s="3"/>
      <c r="R83" s="3"/>
      <c r="S83" s="3"/>
      <c r="T83" s="3"/>
      <c r="U83" s="3"/>
      <c r="V83" s="3"/>
      <c r="W83" s="3"/>
      <c r="X83" s="3"/>
      <c r="Y83" s="3"/>
      <c r="Z83" s="3"/>
    </row>
    <row r="84">
      <c r="A84" s="9"/>
      <c r="B84" s="9"/>
      <c r="C84" s="9"/>
      <c r="D84" s="9"/>
      <c r="E84" s="9"/>
      <c r="F84" s="3"/>
      <c r="G84" s="3"/>
      <c r="H84" s="3"/>
      <c r="I84" s="3"/>
      <c r="J84" s="3"/>
      <c r="K84" s="3"/>
      <c r="L84" s="3"/>
      <c r="M84" s="3"/>
      <c r="N84" s="3"/>
      <c r="O84" s="3"/>
      <c r="P84" s="3"/>
      <c r="Q84" s="3"/>
      <c r="R84" s="3"/>
      <c r="S84" s="3"/>
      <c r="T84" s="3"/>
      <c r="U84" s="3"/>
      <c r="V84" s="3"/>
      <c r="W84" s="3"/>
      <c r="X84" s="3"/>
      <c r="Y84" s="3"/>
      <c r="Z84" s="3"/>
    </row>
    <row r="85">
      <c r="A85" s="9"/>
      <c r="B85" s="3"/>
      <c r="C85" s="3"/>
      <c r="D85" s="3"/>
      <c r="E85" s="3"/>
      <c r="F85" s="3"/>
      <c r="G85" s="3"/>
      <c r="H85" s="3"/>
      <c r="I85" s="3"/>
      <c r="J85" s="3"/>
      <c r="K85" s="3"/>
      <c r="L85" s="3"/>
      <c r="M85" s="3"/>
      <c r="N85" s="3"/>
      <c r="O85" s="3"/>
      <c r="P85" s="3"/>
      <c r="Q85" s="3"/>
      <c r="R85" s="3"/>
      <c r="S85" s="3"/>
      <c r="T85" s="3"/>
      <c r="U85" s="3"/>
      <c r="V85" s="3"/>
      <c r="W85" s="3"/>
      <c r="X85" s="3"/>
      <c r="Y85" s="3"/>
      <c r="Z85" s="3"/>
    </row>
    <row r="86">
      <c r="A86" s="9"/>
      <c r="B86" s="3"/>
      <c r="C86" s="3"/>
      <c r="D86" s="3"/>
      <c r="E86" s="3"/>
      <c r="F86" s="3"/>
      <c r="G86" s="3"/>
      <c r="H86" s="3"/>
      <c r="I86" s="3"/>
      <c r="J86" s="3"/>
      <c r="K86" s="3"/>
      <c r="L86" s="3"/>
      <c r="M86" s="3"/>
      <c r="N86" s="3"/>
      <c r="O86" s="3"/>
      <c r="P86" s="3"/>
      <c r="Q86" s="3"/>
      <c r="R86" s="3"/>
      <c r="S86" s="3"/>
      <c r="T86" s="3"/>
      <c r="U86" s="3"/>
      <c r="V86" s="3"/>
      <c r="W86" s="3"/>
      <c r="X86" s="3"/>
      <c r="Y86" s="3"/>
      <c r="Z86" s="3"/>
    </row>
    <row r="87">
      <c r="A87" s="9"/>
      <c r="B87" s="3"/>
      <c r="C87" s="3"/>
      <c r="D87" s="3"/>
      <c r="E87" s="3"/>
      <c r="F87" s="3"/>
      <c r="G87" s="3"/>
      <c r="H87" s="3"/>
      <c r="I87" s="3"/>
      <c r="J87" s="3"/>
      <c r="K87" s="3"/>
      <c r="L87" s="3"/>
      <c r="M87" s="3"/>
      <c r="N87" s="3"/>
      <c r="O87" s="3"/>
      <c r="P87" s="3"/>
      <c r="Q87" s="3"/>
      <c r="R87" s="3"/>
      <c r="S87" s="3"/>
      <c r="T87" s="3"/>
      <c r="U87" s="3"/>
      <c r="V87" s="3"/>
      <c r="W87" s="3"/>
      <c r="X87" s="3"/>
      <c r="Y87" s="3"/>
      <c r="Z87" s="3"/>
    </row>
    <row r="88">
      <c r="A88" s="9"/>
      <c r="B88" s="9"/>
      <c r="C88" s="9"/>
      <c r="D88" s="3"/>
      <c r="E88" s="3"/>
      <c r="F88" s="3"/>
      <c r="G88" s="3"/>
      <c r="H88" s="3"/>
      <c r="I88" s="3"/>
      <c r="J88" s="3"/>
      <c r="K88" s="3"/>
      <c r="L88" s="3"/>
      <c r="M88" s="3"/>
      <c r="N88" s="3"/>
      <c r="O88" s="3"/>
      <c r="P88" s="3"/>
      <c r="Q88" s="3"/>
      <c r="R88" s="3"/>
      <c r="S88" s="3"/>
      <c r="T88" s="3"/>
      <c r="U88" s="3"/>
      <c r="V88" s="3"/>
      <c r="W88" s="3"/>
      <c r="X88" s="3"/>
      <c r="Y88" s="3"/>
      <c r="Z88" s="3"/>
    </row>
    <row r="89">
      <c r="A89" s="9"/>
      <c r="B89" s="9"/>
      <c r="C89" s="3"/>
      <c r="D89" s="3"/>
      <c r="E89" s="3"/>
      <c r="F89" s="3"/>
      <c r="G89" s="3"/>
      <c r="H89" s="3"/>
      <c r="I89" s="3"/>
      <c r="J89" s="3"/>
      <c r="K89" s="3"/>
      <c r="L89" s="3"/>
      <c r="M89" s="3"/>
      <c r="N89" s="3"/>
      <c r="O89" s="3"/>
      <c r="P89" s="3"/>
      <c r="Q89" s="3"/>
      <c r="R89" s="3"/>
      <c r="S89" s="3"/>
      <c r="T89" s="3"/>
      <c r="U89" s="3"/>
      <c r="V89" s="3"/>
      <c r="W89" s="3"/>
      <c r="X89" s="3"/>
      <c r="Y89" s="3"/>
      <c r="Z89" s="3"/>
    </row>
    <row r="90">
      <c r="I90" s="3"/>
      <c r="J90" s="3"/>
      <c r="K90" s="3"/>
      <c r="L90" s="3"/>
      <c r="M90" s="3"/>
      <c r="N90" s="3"/>
      <c r="O90" s="3"/>
      <c r="P90" s="3"/>
      <c r="Q90" s="3"/>
      <c r="R90" s="3"/>
      <c r="S90" s="3"/>
      <c r="T90" s="3"/>
      <c r="U90" s="3"/>
      <c r="V90" s="3"/>
      <c r="W90" s="3"/>
      <c r="X90" s="3"/>
      <c r="Y90" s="3"/>
      <c r="Z90" s="3"/>
    </row>
    <row r="91">
      <c r="I91" s="3"/>
      <c r="J91" s="3"/>
      <c r="K91" s="3"/>
      <c r="L91" s="3"/>
      <c r="M91" s="3"/>
      <c r="N91" s="3"/>
      <c r="O91" s="3"/>
      <c r="P91" s="3"/>
      <c r="Q91" s="3"/>
      <c r="R91" s="3"/>
      <c r="S91" s="3"/>
      <c r="T91" s="3"/>
      <c r="U91" s="3"/>
      <c r="V91" s="3"/>
      <c r="W91" s="3"/>
      <c r="X91" s="3"/>
      <c r="Y91" s="3"/>
      <c r="Z91" s="3"/>
    </row>
    <row r="92">
      <c r="I92" s="3"/>
      <c r="J92" s="3"/>
      <c r="K92" s="3"/>
      <c r="L92" s="3"/>
      <c r="M92" s="3"/>
      <c r="N92" s="3"/>
      <c r="O92" s="3"/>
      <c r="P92" s="3"/>
      <c r="Q92" s="3"/>
      <c r="R92" s="3"/>
      <c r="S92" s="3"/>
      <c r="T92" s="3"/>
      <c r="U92" s="3"/>
      <c r="V92" s="3"/>
      <c r="W92" s="3"/>
      <c r="X92" s="3"/>
      <c r="Y92" s="3"/>
      <c r="Z92" s="3"/>
    </row>
    <row r="93">
      <c r="I93" s="3"/>
      <c r="J93" s="3"/>
      <c r="K93" s="3"/>
      <c r="L93" s="3"/>
      <c r="M93" s="3"/>
      <c r="N93" s="3"/>
      <c r="O93" s="3"/>
      <c r="P93" s="3"/>
      <c r="Q93" s="3"/>
      <c r="R93" s="3"/>
      <c r="S93" s="3"/>
      <c r="T93" s="3"/>
      <c r="U93" s="3"/>
      <c r="V93" s="3"/>
      <c r="W93" s="3"/>
      <c r="X93" s="3"/>
      <c r="Y93" s="3"/>
      <c r="Z93" s="3"/>
    </row>
    <row r="94">
      <c r="I94" s="3"/>
      <c r="J94" s="3"/>
      <c r="K94" s="3"/>
      <c r="L94" s="3"/>
      <c r="M94" s="3"/>
      <c r="N94" s="3"/>
      <c r="O94" s="3"/>
      <c r="P94" s="3"/>
      <c r="Q94" s="3"/>
      <c r="R94" s="3"/>
      <c r="S94" s="3"/>
      <c r="T94" s="3"/>
      <c r="U94" s="3"/>
      <c r="V94" s="3"/>
      <c r="W94" s="3"/>
      <c r="X94" s="3"/>
      <c r="Y94" s="3"/>
      <c r="Z94" s="3"/>
    </row>
    <row r="95">
      <c r="I95" s="3"/>
      <c r="J95" s="3"/>
      <c r="K95" s="3"/>
      <c r="L95" s="3"/>
      <c r="M95" s="3"/>
      <c r="N95" s="3"/>
      <c r="O95" s="3"/>
      <c r="P95" s="3"/>
      <c r="Q95" s="3"/>
      <c r="R95" s="3"/>
      <c r="S95" s="3"/>
      <c r="T95" s="3"/>
      <c r="U95" s="3"/>
      <c r="V95" s="3"/>
      <c r="W95" s="3"/>
      <c r="X95" s="3"/>
      <c r="Y95" s="3"/>
      <c r="Z95" s="3"/>
    </row>
    <row r="96">
      <c r="I96" s="3"/>
      <c r="J96" s="3"/>
      <c r="K96" s="3"/>
      <c r="L96" s="3"/>
      <c r="M96" s="3"/>
      <c r="N96" s="3"/>
      <c r="O96" s="3"/>
      <c r="P96" s="3"/>
      <c r="Q96" s="3"/>
      <c r="R96" s="3"/>
      <c r="S96" s="3"/>
      <c r="T96" s="3"/>
      <c r="U96" s="3"/>
      <c r="V96" s="3"/>
      <c r="W96" s="3"/>
      <c r="X96" s="3"/>
      <c r="Y96" s="3"/>
      <c r="Z96" s="3"/>
    </row>
    <row r="97">
      <c r="I97" s="3"/>
      <c r="J97" s="3"/>
      <c r="K97" s="3"/>
      <c r="L97" s="3"/>
      <c r="M97" s="3"/>
      <c r="N97" s="3"/>
      <c r="O97" s="3"/>
      <c r="P97" s="3"/>
      <c r="Q97" s="3"/>
      <c r="R97" s="3"/>
      <c r="S97" s="3"/>
      <c r="T97" s="3"/>
      <c r="U97" s="3"/>
      <c r="V97" s="3"/>
      <c r="W97" s="3"/>
      <c r="X97" s="3"/>
      <c r="Y97" s="3"/>
      <c r="Z97" s="3"/>
    </row>
    <row r="98">
      <c r="I98" s="3"/>
      <c r="J98" s="3"/>
      <c r="K98" s="3"/>
      <c r="L98" s="3"/>
      <c r="M98" s="3"/>
      <c r="N98" s="3"/>
      <c r="O98" s="3"/>
      <c r="P98" s="3"/>
      <c r="Q98" s="3"/>
      <c r="R98" s="3"/>
      <c r="S98" s="3"/>
      <c r="T98" s="3"/>
      <c r="U98" s="3"/>
      <c r="V98" s="3"/>
      <c r="W98" s="3"/>
      <c r="X98" s="3"/>
      <c r="Y98" s="3"/>
      <c r="Z98" s="3"/>
    </row>
    <row r="99">
      <c r="I99" s="3"/>
      <c r="J99" s="3"/>
      <c r="K99" s="3"/>
      <c r="L99" s="3"/>
      <c r="M99" s="3"/>
      <c r="N99" s="3"/>
      <c r="O99" s="3"/>
      <c r="P99" s="3"/>
      <c r="Q99" s="3"/>
      <c r="R99" s="3"/>
      <c r="S99" s="3"/>
      <c r="T99" s="3"/>
      <c r="U99" s="3"/>
      <c r="V99" s="3"/>
      <c r="W99" s="3"/>
      <c r="X99" s="3"/>
      <c r="Y99" s="3"/>
      <c r="Z99" s="3"/>
    </row>
    <row r="100">
      <c r="I100" s="3"/>
      <c r="J100" s="3"/>
      <c r="K100" s="3"/>
      <c r="L100" s="3"/>
      <c r="M100" s="3"/>
      <c r="N100" s="3"/>
      <c r="O100" s="3"/>
      <c r="P100" s="3"/>
      <c r="Q100" s="3"/>
      <c r="R100" s="3"/>
      <c r="S100" s="3"/>
      <c r="T100" s="3"/>
      <c r="U100" s="3"/>
      <c r="V100" s="3"/>
      <c r="W100" s="3"/>
      <c r="X100" s="3"/>
      <c r="Y100" s="3"/>
      <c r="Z100" s="3"/>
    </row>
    <row r="101">
      <c r="I101" s="3"/>
      <c r="J101" s="3"/>
      <c r="K101" s="3"/>
      <c r="L101" s="3"/>
      <c r="M101" s="3"/>
      <c r="N101" s="3"/>
      <c r="O101" s="3"/>
      <c r="P101" s="3"/>
      <c r="Q101" s="3"/>
      <c r="R101" s="3"/>
      <c r="S101" s="3"/>
      <c r="T101" s="3"/>
      <c r="U101" s="3"/>
      <c r="V101" s="3"/>
      <c r="W101" s="3"/>
      <c r="X101" s="3"/>
      <c r="Y101" s="3"/>
      <c r="Z101" s="3"/>
    </row>
    <row r="102">
      <c r="I102" s="3"/>
      <c r="J102" s="3"/>
      <c r="K102" s="3"/>
      <c r="L102" s="3"/>
      <c r="M102" s="3"/>
      <c r="N102" s="3"/>
      <c r="O102" s="3"/>
      <c r="P102" s="3"/>
      <c r="Q102" s="3"/>
      <c r="R102" s="3"/>
      <c r="S102" s="3"/>
      <c r="T102" s="3"/>
      <c r="U102" s="3"/>
      <c r="V102" s="3"/>
      <c r="W102" s="3"/>
      <c r="X102" s="3"/>
      <c r="Y102" s="3"/>
      <c r="Z102" s="3"/>
    </row>
    <row r="103">
      <c r="I103" s="3"/>
      <c r="J103" s="3"/>
      <c r="K103" s="3"/>
      <c r="L103" s="3"/>
      <c r="M103" s="3"/>
      <c r="N103" s="3"/>
      <c r="O103" s="3"/>
      <c r="P103" s="3"/>
      <c r="Q103" s="3"/>
      <c r="R103" s="3"/>
      <c r="S103" s="3"/>
      <c r="T103" s="3"/>
      <c r="U103" s="3"/>
      <c r="V103" s="3"/>
      <c r="W103" s="3"/>
      <c r="X103" s="3"/>
      <c r="Y103" s="3"/>
      <c r="Z103" s="3"/>
    </row>
    <row r="104">
      <c r="I104" s="3"/>
      <c r="J104" s="3"/>
      <c r="K104" s="3"/>
      <c r="L104" s="3"/>
      <c r="M104" s="3"/>
      <c r="N104" s="3"/>
      <c r="O104" s="3"/>
      <c r="P104" s="3"/>
      <c r="Q104" s="3"/>
      <c r="R104" s="3"/>
      <c r="S104" s="3"/>
      <c r="T104" s="3"/>
      <c r="U104" s="3"/>
      <c r="V104" s="3"/>
      <c r="W104" s="3"/>
      <c r="X104" s="3"/>
      <c r="Y104" s="3"/>
      <c r="Z104" s="3"/>
    </row>
    <row r="105">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A9:H9"/>
    <mergeCell ref="A16:H16"/>
    <mergeCell ref="A1:H1"/>
    <mergeCell ref="B2:H2"/>
    <mergeCell ref="B3:H3"/>
    <mergeCell ref="B4:H4"/>
    <mergeCell ref="B5:H5"/>
    <mergeCell ref="B6:H6"/>
    <mergeCell ref="B7:H7"/>
  </mergeCells>
  <dataValidations>
    <dataValidation type="list" allowBlank="1" showErrorMessage="1" sqref="H18:H30">
      <formula1>"PASS,FAIL,BLOCKED,NOT TESTED"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42.38"/>
    <col customWidth="1" min="3" max="3" width="37.75"/>
    <col customWidth="1" min="4" max="4" width="64.5"/>
    <col customWidth="1" min="5" max="5" width="35.63"/>
    <col customWidth="1" min="6" max="6" width="49.88"/>
    <col customWidth="1" min="7" max="7" width="48.75"/>
    <col customWidth="1" min="8" max="8" width="46.0"/>
    <col customWidth="1" min="9" max="9" width="40.5"/>
    <col customWidth="1" min="10" max="10" width="20.63"/>
    <col customWidth="1" min="11" max="11" width="34.5"/>
    <col customWidth="1" min="12" max="12" width="50.5"/>
  </cols>
  <sheetData>
    <row r="1">
      <c r="A1" s="2" t="s">
        <v>1</v>
      </c>
      <c r="B1" s="2" t="s">
        <v>2</v>
      </c>
      <c r="C1" s="2" t="s">
        <v>3</v>
      </c>
      <c r="D1" s="2" t="s">
        <v>4</v>
      </c>
      <c r="E1" s="2" t="s">
        <v>5</v>
      </c>
      <c r="F1" s="2" t="s">
        <v>6</v>
      </c>
      <c r="G1" s="2" t="s">
        <v>7</v>
      </c>
      <c r="H1" s="2" t="s">
        <v>8</v>
      </c>
      <c r="I1" s="2" t="s">
        <v>9</v>
      </c>
      <c r="J1" s="2" t="s">
        <v>10</v>
      </c>
      <c r="K1" s="4" t="s">
        <v>11</v>
      </c>
      <c r="L1" s="2" t="s">
        <v>12</v>
      </c>
    </row>
    <row r="2">
      <c r="A2" s="5" t="s">
        <v>13</v>
      </c>
      <c r="B2" s="6" t="s">
        <v>14</v>
      </c>
      <c r="C2" s="6" t="s">
        <v>15</v>
      </c>
      <c r="D2" s="10" t="s">
        <v>18</v>
      </c>
      <c r="E2" s="6" t="s">
        <v>25</v>
      </c>
      <c r="F2" s="6" t="s">
        <v>26</v>
      </c>
      <c r="G2" s="10" t="s">
        <v>27</v>
      </c>
      <c r="H2" s="6" t="s">
        <v>28</v>
      </c>
      <c r="I2" s="6" t="s">
        <v>29</v>
      </c>
      <c r="J2" s="6" t="s">
        <v>33</v>
      </c>
      <c r="K2" s="11" t="s">
        <v>34</v>
      </c>
      <c r="L2" s="6" t="s">
        <v>36</v>
      </c>
    </row>
    <row r="3">
      <c r="A3" s="5" t="s">
        <v>37</v>
      </c>
      <c r="B3" s="6" t="s">
        <v>38</v>
      </c>
      <c r="C3" s="6" t="s">
        <v>39</v>
      </c>
      <c r="D3" s="6" t="s">
        <v>40</v>
      </c>
      <c r="E3" s="6" t="s">
        <v>41</v>
      </c>
      <c r="F3" s="6" t="s">
        <v>42</v>
      </c>
      <c r="G3" s="6" t="s">
        <v>43</v>
      </c>
      <c r="H3" s="6" t="s">
        <v>44</v>
      </c>
      <c r="I3" s="6" t="s">
        <v>45</v>
      </c>
      <c r="J3" s="6" t="s">
        <v>33</v>
      </c>
      <c r="K3" s="11" t="s">
        <v>46</v>
      </c>
      <c r="L3" s="6" t="s">
        <v>47</v>
      </c>
    </row>
    <row r="4">
      <c r="A4" s="2" t="s">
        <v>48</v>
      </c>
      <c r="B4" s="6" t="s">
        <v>49</v>
      </c>
      <c r="C4" s="6" t="s">
        <v>50</v>
      </c>
      <c r="D4" s="6" t="s">
        <v>51</v>
      </c>
      <c r="E4" s="6" t="s">
        <v>52</v>
      </c>
      <c r="F4" s="6" t="s">
        <v>53</v>
      </c>
      <c r="G4" s="6" t="s">
        <v>54</v>
      </c>
      <c r="H4" s="6" t="s">
        <v>55</v>
      </c>
      <c r="I4" s="6" t="s">
        <v>56</v>
      </c>
      <c r="J4" s="6" t="s">
        <v>33</v>
      </c>
      <c r="K4" s="11" t="s">
        <v>57</v>
      </c>
      <c r="L4" s="6" t="s">
        <v>58</v>
      </c>
    </row>
    <row r="5">
      <c r="A5" s="2" t="s">
        <v>59</v>
      </c>
      <c r="B5" s="6" t="s">
        <v>60</v>
      </c>
      <c r="C5" s="6" t="s">
        <v>61</v>
      </c>
      <c r="D5" s="10" t="s">
        <v>62</v>
      </c>
      <c r="E5" s="6" t="s">
        <v>63</v>
      </c>
      <c r="F5" s="6" t="s">
        <v>64</v>
      </c>
      <c r="G5" s="6" t="s">
        <v>65</v>
      </c>
      <c r="H5" s="6" t="s">
        <v>66</v>
      </c>
      <c r="I5" s="6" t="s">
        <v>67</v>
      </c>
      <c r="J5" s="6" t="s">
        <v>33</v>
      </c>
      <c r="K5" s="11" t="s">
        <v>68</v>
      </c>
      <c r="L5" s="6" t="s">
        <v>69</v>
      </c>
    </row>
    <row r="6">
      <c r="A6" s="2" t="s">
        <v>70</v>
      </c>
      <c r="B6" s="6" t="s">
        <v>71</v>
      </c>
      <c r="C6" s="6" t="s">
        <v>72</v>
      </c>
      <c r="D6" s="10" t="s">
        <v>73</v>
      </c>
      <c r="E6" s="6" t="s">
        <v>74</v>
      </c>
      <c r="F6" s="6" t="s">
        <v>75</v>
      </c>
      <c r="G6" s="6" t="s">
        <v>76</v>
      </c>
      <c r="H6" s="6" t="s">
        <v>55</v>
      </c>
      <c r="I6" s="6" t="s">
        <v>77</v>
      </c>
      <c r="J6" s="6" t="s">
        <v>33</v>
      </c>
      <c r="K6" s="12" t="s">
        <v>78</v>
      </c>
      <c r="L6" s="6" t="s">
        <v>79</v>
      </c>
    </row>
    <row r="7">
      <c r="A7" s="2" t="s">
        <v>80</v>
      </c>
      <c r="B7" s="6" t="s">
        <v>81</v>
      </c>
      <c r="C7" s="6" t="s">
        <v>82</v>
      </c>
      <c r="D7" s="10" t="s">
        <v>83</v>
      </c>
      <c r="E7" s="6" t="s">
        <v>84</v>
      </c>
      <c r="F7" s="6" t="s">
        <v>85</v>
      </c>
      <c r="G7" s="6" t="s">
        <v>86</v>
      </c>
      <c r="H7" s="6" t="s">
        <v>87</v>
      </c>
      <c r="I7" s="6" t="s">
        <v>88</v>
      </c>
      <c r="J7" s="6" t="s">
        <v>33</v>
      </c>
      <c r="K7" s="11" t="s">
        <v>89</v>
      </c>
      <c r="L7" s="6" t="s">
        <v>90</v>
      </c>
    </row>
    <row r="8">
      <c r="A8" s="2" t="s">
        <v>91</v>
      </c>
      <c r="B8" s="6" t="s">
        <v>92</v>
      </c>
      <c r="C8" s="6" t="s">
        <v>93</v>
      </c>
      <c r="D8" s="10" t="s">
        <v>94</v>
      </c>
      <c r="E8" s="6" t="s">
        <v>95</v>
      </c>
      <c r="F8" s="6" t="s">
        <v>96</v>
      </c>
      <c r="G8" s="6" t="s">
        <v>97</v>
      </c>
      <c r="H8" s="6" t="s">
        <v>98</v>
      </c>
      <c r="I8" s="6" t="s">
        <v>99</v>
      </c>
      <c r="J8" s="6" t="s">
        <v>33</v>
      </c>
      <c r="K8" s="11" t="s">
        <v>100</v>
      </c>
      <c r="L8" s="6" t="s">
        <v>101</v>
      </c>
    </row>
    <row r="9">
      <c r="A9" s="2" t="s">
        <v>102</v>
      </c>
      <c r="B9" s="6" t="s">
        <v>103</v>
      </c>
      <c r="C9" s="6" t="s">
        <v>104</v>
      </c>
      <c r="D9" s="6" t="s">
        <v>105</v>
      </c>
      <c r="E9" s="6" t="s">
        <v>106</v>
      </c>
      <c r="F9" s="6" t="s">
        <v>107</v>
      </c>
      <c r="G9" s="6" t="s">
        <v>108</v>
      </c>
      <c r="H9" s="6" t="s">
        <v>109</v>
      </c>
      <c r="I9" s="6" t="s">
        <v>110</v>
      </c>
      <c r="J9" s="2" t="s">
        <v>33</v>
      </c>
      <c r="K9" s="11" t="s">
        <v>111</v>
      </c>
      <c r="L9" s="6" t="s">
        <v>113</v>
      </c>
    </row>
    <row r="10">
      <c r="A10" s="2" t="s">
        <v>114</v>
      </c>
      <c r="B10" s="6" t="s">
        <v>115</v>
      </c>
      <c r="C10" s="6" t="s">
        <v>116</v>
      </c>
      <c r="D10" s="10" t="s">
        <v>117</v>
      </c>
      <c r="E10" s="6" t="s">
        <v>118</v>
      </c>
      <c r="F10" s="6" t="s">
        <v>119</v>
      </c>
      <c r="G10" s="6" t="s">
        <v>120</v>
      </c>
      <c r="H10" s="6" t="s">
        <v>121</v>
      </c>
      <c r="I10" s="6" t="s">
        <v>123</v>
      </c>
      <c r="J10" s="2" t="s">
        <v>33</v>
      </c>
      <c r="K10" s="11" t="s">
        <v>124</v>
      </c>
      <c r="L10" s="6" t="s">
        <v>125</v>
      </c>
    </row>
    <row r="11">
      <c r="A11" s="2" t="s">
        <v>126</v>
      </c>
      <c r="B11" s="6" t="s">
        <v>127</v>
      </c>
      <c r="C11" s="6" t="s">
        <v>128</v>
      </c>
      <c r="D11" s="10" t="s">
        <v>129</v>
      </c>
      <c r="E11" s="6" t="s">
        <v>130</v>
      </c>
      <c r="F11" s="6" t="s">
        <v>132</v>
      </c>
      <c r="G11" s="6" t="s">
        <v>133</v>
      </c>
      <c r="H11" s="6" t="s">
        <v>134</v>
      </c>
      <c r="I11" s="6" t="s">
        <v>135</v>
      </c>
      <c r="J11" s="2" t="s">
        <v>33</v>
      </c>
      <c r="K11" s="11" t="s">
        <v>136</v>
      </c>
      <c r="L11" s="6" t="s">
        <v>137</v>
      </c>
    </row>
    <row r="12">
      <c r="A12" s="2" t="s">
        <v>138</v>
      </c>
      <c r="B12" s="6" t="s">
        <v>139</v>
      </c>
      <c r="C12" s="6" t="s">
        <v>140</v>
      </c>
      <c r="D12" s="6" t="s">
        <v>142</v>
      </c>
      <c r="E12" s="6" t="s">
        <v>143</v>
      </c>
      <c r="F12" s="6" t="s">
        <v>144</v>
      </c>
      <c r="G12" s="6" t="s">
        <v>145</v>
      </c>
      <c r="H12" s="6" t="s">
        <v>146</v>
      </c>
      <c r="I12" s="6" t="s">
        <v>147</v>
      </c>
      <c r="J12" s="2" t="s">
        <v>33</v>
      </c>
      <c r="K12" s="11" t="s">
        <v>148</v>
      </c>
      <c r="L12" s="6" t="s">
        <v>150</v>
      </c>
    </row>
    <row r="13">
      <c r="A13" s="2" t="s">
        <v>151</v>
      </c>
      <c r="B13" s="6" t="s">
        <v>152</v>
      </c>
      <c r="C13" s="6" t="s">
        <v>153</v>
      </c>
      <c r="D13" s="10" t="s">
        <v>154</v>
      </c>
      <c r="E13" s="6" t="s">
        <v>155</v>
      </c>
      <c r="F13" s="6" t="s">
        <v>157</v>
      </c>
      <c r="G13" s="6" t="s">
        <v>158</v>
      </c>
      <c r="H13" s="6" t="s">
        <v>159</v>
      </c>
      <c r="I13" s="6" t="s">
        <v>160</v>
      </c>
      <c r="J13" s="2" t="s">
        <v>33</v>
      </c>
      <c r="K13" s="11" t="s">
        <v>161</v>
      </c>
      <c r="L13" s="17" t="s">
        <v>162</v>
      </c>
    </row>
    <row r="14" ht="119.25" customHeight="1">
      <c r="A14" s="2" t="s">
        <v>163</v>
      </c>
      <c r="B14" s="6" t="s">
        <v>164</v>
      </c>
      <c r="C14" s="6" t="s">
        <v>165</v>
      </c>
      <c r="D14" s="6" t="s">
        <v>166</v>
      </c>
      <c r="E14" s="6" t="s">
        <v>167</v>
      </c>
      <c r="F14" s="6" t="s">
        <v>168</v>
      </c>
      <c r="G14" s="6" t="s">
        <v>169</v>
      </c>
      <c r="H14" s="6" t="s">
        <v>170</v>
      </c>
      <c r="I14" s="6" t="s">
        <v>171</v>
      </c>
      <c r="J14" s="2" t="s">
        <v>33</v>
      </c>
      <c r="K14" s="12" t="s">
        <v>172</v>
      </c>
      <c r="L14" s="6" t="s">
        <v>173</v>
      </c>
    </row>
  </sheetData>
  <dataValidations>
    <dataValidation type="list" allowBlank="1" showErrorMessage="1" sqref="J2:J14">
      <formula1>"PASS,FAIL,BLOCKED,NOT TESTED"</formula1>
    </dataValidation>
  </dataValidations>
  <hyperlinks>
    <hyperlink r:id="rId1" ref="D2"/>
    <hyperlink r:id="rId2" ref="G2"/>
    <hyperlink r:id="rId3" ref="K2"/>
    <hyperlink r:id="rId4" ref="K3"/>
    <hyperlink r:id="rId5" ref="K4"/>
    <hyperlink r:id="rId6" ref="D5"/>
    <hyperlink r:id="rId7" ref="K5"/>
    <hyperlink r:id="rId8" ref="D6"/>
    <hyperlink r:id="rId9" ref="D7"/>
    <hyperlink r:id="rId10" ref="K7"/>
    <hyperlink r:id="rId11" ref="D8"/>
    <hyperlink r:id="rId12" ref="K8"/>
    <hyperlink r:id="rId13" ref="K9"/>
    <hyperlink r:id="rId14" ref="D10"/>
    <hyperlink r:id="rId15" ref="K10"/>
    <hyperlink r:id="rId16" ref="D11"/>
    <hyperlink r:id="rId17" ref="K11"/>
    <hyperlink r:id="rId18" ref="K12"/>
    <hyperlink r:id="rId19" ref="D13"/>
    <hyperlink r:id="rId20" ref="K13"/>
  </hyperlinks>
  <drawing r:id="rId21"/>
</worksheet>
</file>